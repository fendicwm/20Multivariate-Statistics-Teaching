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ocuments/教师/20**教学笔记/多元统计/评价指标权重/"/>
    </mc:Choice>
  </mc:AlternateContent>
  <xr:revisionPtr revIDLastSave="0" documentId="13_ncr:1_{A0392B09-B2B0-A542-A40C-AEFAADEBEAB5}" xr6:coauthVersionLast="47" xr6:coauthVersionMax="47" xr10:uidLastSave="{00000000-0000-0000-0000-000000000000}"/>
  <bookViews>
    <workbookView xWindow="10080" yWindow="6800" windowWidth="28800" windowHeight="15860" xr2:uid="{E07F0F2D-9243-2A42-A92B-22B9C1EFC1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L7" i="1"/>
  <c r="H3" i="1"/>
  <c r="H4" i="1"/>
  <c r="H5" i="1"/>
  <c r="H6" i="1"/>
  <c r="H2" i="1"/>
  <c r="G6" i="1"/>
  <c r="G5" i="1"/>
  <c r="G3" i="1"/>
  <c r="G2" i="1"/>
  <c r="G4" i="1" l="1"/>
  <c r="H7" i="1" s="1"/>
  <c r="I4" i="1" l="1"/>
  <c r="I5" i="1"/>
  <c r="I6" i="1"/>
  <c r="I2" i="1"/>
  <c r="I3" i="1"/>
  <c r="J2" i="1" l="1"/>
  <c r="K2" i="1" s="1"/>
  <c r="J4" i="1"/>
  <c r="K4" i="1" s="1"/>
  <c r="J3" i="1"/>
  <c r="K3" i="1" s="1"/>
  <c r="J5" i="1"/>
  <c r="J6" i="1"/>
  <c r="I7" i="1"/>
  <c r="K7" i="1" l="1"/>
</calcChain>
</file>

<file path=xl/sharedStrings.xml><?xml version="1.0" encoding="utf-8"?>
<sst xmlns="http://schemas.openxmlformats.org/spreadsheetml/2006/main" count="19" uniqueCount="14">
  <si>
    <t>A1</t>
    <phoneticPr fontId="1" type="noConversion"/>
  </si>
  <si>
    <t>A2</t>
    <phoneticPr fontId="1" type="noConversion"/>
  </si>
  <si>
    <t>A3</t>
  </si>
  <si>
    <t>A4</t>
  </si>
  <si>
    <t>A5</t>
  </si>
  <si>
    <t>按行乘积</t>
    <phoneticPr fontId="1" type="noConversion"/>
  </si>
  <si>
    <t>开n次方</t>
    <phoneticPr fontId="1" type="noConversion"/>
  </si>
  <si>
    <t>权重Wi（规一划）</t>
    <phoneticPr fontId="1" type="noConversion"/>
  </si>
  <si>
    <t>分向量权重Awi</t>
    <phoneticPr fontId="1" type="noConversion"/>
  </si>
  <si>
    <t>AWi/Wi</t>
    <phoneticPr fontId="1" type="noConversion"/>
  </si>
  <si>
    <t>CI</t>
    <phoneticPr fontId="1" type="noConversion"/>
  </si>
  <si>
    <t>CR = CI/RI</t>
    <phoneticPr fontId="1" type="noConversion"/>
  </si>
  <si>
    <t>n</t>
    <phoneticPr fontId="1" type="noConversion"/>
  </si>
  <si>
    <t>RI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</si>
</sst>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b/>
      <sz val="12"/>
      <color rgb="FFC00000"/>
      <name val="等线"/>
      <family val="4"/>
      <charset val="134"/>
      <scheme val="minor"/>
    </font>
    <font>
      <sz val="12"/>
      <color rgb="FFC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00D43-5B00-D645-95C2-B376A2CE697F}">
  <dimension ref="A1:M10"/>
  <sheetViews>
    <sheetView tabSelected="1" workbookViewId="0">
      <selection activeCell="M8" sqref="M8"/>
    </sheetView>
  </sheetViews>
  <sheetFormatPr baseColWidth="10" defaultRowHeight="16"/>
  <cols>
    <col min="9" max="9" width="19.1640625" bestFit="1" customWidth="1"/>
    <col min="10" max="10" width="15.6640625" bestFit="1" customWidth="1"/>
    <col min="11" max="11" width="11.5" bestFit="1" customWidth="1"/>
  </cols>
  <sheetData>
    <row r="1" spans="1:13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7" t="s">
        <v>7</v>
      </c>
      <c r="J1" s="4" t="s">
        <v>8</v>
      </c>
      <c r="K1" s="4" t="s">
        <v>9</v>
      </c>
      <c r="L1" s="4" t="s">
        <v>10</v>
      </c>
      <c r="M1" s="4" t="s">
        <v>11</v>
      </c>
    </row>
    <row r="2" spans="1:13">
      <c r="A2" s="4" t="s">
        <v>0</v>
      </c>
      <c r="B2" s="2">
        <v>1</v>
      </c>
      <c r="C2" s="2">
        <v>1</v>
      </c>
      <c r="D2" s="2">
        <v>2</v>
      </c>
      <c r="E2" s="2"/>
      <c r="F2" s="2"/>
      <c r="G2">
        <f>PRODUCT(B2:F2)</f>
        <v>2</v>
      </c>
      <c r="H2" s="6">
        <f>POWER(G2,1/3)</f>
        <v>1.2599210498948732</v>
      </c>
      <c r="I2" s="8">
        <f>H2/$H$7</f>
        <v>0.39999999999999997</v>
      </c>
      <c r="J2" s="5">
        <f>B2*$I$2+C2*$I$3+D2*$I$4+E2*$I$5+F2*$I$6</f>
        <v>1.2</v>
      </c>
      <c r="K2" s="5">
        <f>J2/I2</f>
        <v>3</v>
      </c>
      <c r="L2" s="3"/>
      <c r="M2" s="3"/>
    </row>
    <row r="3" spans="1:13">
      <c r="A3" s="4" t="s">
        <v>1</v>
      </c>
      <c r="B3" s="2">
        <v>1</v>
      </c>
      <c r="C3" s="2">
        <v>1</v>
      </c>
      <c r="D3" s="2">
        <v>2</v>
      </c>
      <c r="E3" s="2"/>
      <c r="F3" s="2"/>
      <c r="G3">
        <f t="shared" ref="G3:G6" si="0">PRODUCT(B3:F3)</f>
        <v>2</v>
      </c>
      <c r="H3" s="6">
        <f t="shared" ref="H3:H6" si="1">POWER(G3,1/3)</f>
        <v>1.2599210498948732</v>
      </c>
      <c r="I3" s="8">
        <f t="shared" ref="I3:I6" si="2">H3/$H$7</f>
        <v>0.39999999999999997</v>
      </c>
      <c r="J3" s="5">
        <f t="shared" ref="J3:J6" si="3">B3*$I$2+C3*$I$3+D3*$I$4+E3*$I$5+F3*$I$6</f>
        <v>1.2</v>
      </c>
      <c r="K3" s="5">
        <f t="shared" ref="K3:K6" si="4">J3/I3</f>
        <v>3</v>
      </c>
      <c r="L3" s="3"/>
      <c r="M3" s="3"/>
    </row>
    <row r="4" spans="1:13">
      <c r="A4" s="4" t="s">
        <v>2</v>
      </c>
      <c r="B4" s="2">
        <v>0.5</v>
      </c>
      <c r="C4" s="2">
        <v>0.5</v>
      </c>
      <c r="D4" s="2">
        <v>1</v>
      </c>
      <c r="E4" s="2"/>
      <c r="F4" s="2"/>
      <c r="G4">
        <f t="shared" si="0"/>
        <v>0.25</v>
      </c>
      <c r="H4" s="6">
        <f t="shared" si="1"/>
        <v>0.6299605249474366</v>
      </c>
      <c r="I4" s="8">
        <f t="shared" si="2"/>
        <v>0.19999999999999998</v>
      </c>
      <c r="J4" s="5">
        <f t="shared" si="3"/>
        <v>0.6</v>
      </c>
      <c r="K4" s="5">
        <f t="shared" si="4"/>
        <v>3</v>
      </c>
      <c r="L4" s="3"/>
      <c r="M4" s="3"/>
    </row>
    <row r="5" spans="1:13">
      <c r="A5" s="4" t="s">
        <v>3</v>
      </c>
      <c r="B5" s="2"/>
      <c r="C5" s="2"/>
      <c r="D5" s="2"/>
      <c r="E5" s="2"/>
      <c r="F5" s="2"/>
      <c r="G5">
        <f t="shared" si="0"/>
        <v>0</v>
      </c>
      <c r="H5" s="6">
        <f t="shared" si="1"/>
        <v>0</v>
      </c>
      <c r="I5" s="8">
        <f t="shared" si="2"/>
        <v>0</v>
      </c>
      <c r="J5" s="5">
        <f t="shared" si="3"/>
        <v>0</v>
      </c>
      <c r="K5" s="5"/>
      <c r="L5" s="3"/>
      <c r="M5" s="3"/>
    </row>
    <row r="6" spans="1:13">
      <c r="A6" s="4" t="s">
        <v>4</v>
      </c>
      <c r="B6" s="2"/>
      <c r="C6" s="2"/>
      <c r="D6" s="2"/>
      <c r="E6" s="2"/>
      <c r="F6" s="2"/>
      <c r="G6">
        <f t="shared" si="0"/>
        <v>0</v>
      </c>
      <c r="H6" s="6">
        <f t="shared" si="1"/>
        <v>0</v>
      </c>
      <c r="I6" s="8">
        <f t="shared" si="2"/>
        <v>0</v>
      </c>
      <c r="J6" s="5">
        <f t="shared" si="3"/>
        <v>0</v>
      </c>
      <c r="K6" s="5"/>
      <c r="L6" s="3"/>
      <c r="M6" s="3"/>
    </row>
    <row r="7" spans="1:13">
      <c r="H7" s="6">
        <f>SUM(H2:H6)</f>
        <v>3.1498026247371831</v>
      </c>
      <c r="I7" s="2">
        <f>SUM(I2:I6)</f>
        <v>0.99999999999999989</v>
      </c>
      <c r="K7" s="5">
        <f>AVERAGE(K2:K6)</f>
        <v>3</v>
      </c>
      <c r="L7" s="5">
        <f>(K7-3)/(3-1)</f>
        <v>0</v>
      </c>
      <c r="M7" s="5">
        <f>L7/D10</f>
        <v>0</v>
      </c>
    </row>
    <row r="8" spans="1:13">
      <c r="B8" s="1"/>
    </row>
    <row r="9" spans="1:13">
      <c r="A9" s="4"/>
      <c r="B9" s="4" t="s">
        <v>12</v>
      </c>
      <c r="C9" s="4">
        <v>2</v>
      </c>
      <c r="D9" s="4">
        <v>3</v>
      </c>
      <c r="E9" s="4">
        <v>4</v>
      </c>
      <c r="F9" s="4">
        <v>5</v>
      </c>
      <c r="G9" s="4">
        <v>6</v>
      </c>
      <c r="H9" s="4">
        <v>7</v>
      </c>
      <c r="I9" s="4">
        <v>8</v>
      </c>
      <c r="J9" s="4">
        <v>9</v>
      </c>
      <c r="K9" s="4">
        <v>10</v>
      </c>
      <c r="L9" s="4"/>
    </row>
    <row r="10" spans="1:13">
      <c r="A10" s="4"/>
      <c r="B10" s="4" t="s">
        <v>13</v>
      </c>
      <c r="C10" s="4">
        <v>0</v>
      </c>
      <c r="D10" s="4">
        <v>0.52</v>
      </c>
      <c r="E10" s="4">
        <v>0.89</v>
      </c>
      <c r="F10" s="4">
        <v>1.1200000000000001</v>
      </c>
      <c r="G10" s="4">
        <v>1.25</v>
      </c>
      <c r="H10" s="4">
        <v>1.35</v>
      </c>
      <c r="I10" s="4">
        <v>1.42</v>
      </c>
      <c r="J10" s="4">
        <v>1.46</v>
      </c>
      <c r="K10" s="4">
        <v>1.49</v>
      </c>
      <c r="L10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Apple</cp:lastModifiedBy>
  <dcterms:created xsi:type="dcterms:W3CDTF">2024-03-23T04:21:53Z</dcterms:created>
  <dcterms:modified xsi:type="dcterms:W3CDTF">2024-03-23T05:55:53Z</dcterms:modified>
</cp:coreProperties>
</file>