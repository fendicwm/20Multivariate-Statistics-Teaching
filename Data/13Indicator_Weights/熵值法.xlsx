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教师/20**教学笔记/多元统计/评价指标权重/"/>
    </mc:Choice>
  </mc:AlternateContent>
  <xr:revisionPtr revIDLastSave="0" documentId="13_ncr:1_{E9BC2FF5-2767-8C4C-B510-8914BFEE7DB7}" xr6:coauthVersionLast="47" xr6:coauthVersionMax="47" xr10:uidLastSave="{00000000-0000-0000-0000-000000000000}"/>
  <bookViews>
    <workbookView xWindow="15780" yWindow="500" windowWidth="28800" windowHeight="15860" xr2:uid="{B89A34C3-19E6-8641-A385-0D3421B0A7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23" i="1" s="1"/>
  <c r="C32" i="1" s="1"/>
  <c r="D14" i="1"/>
  <c r="D23" i="1" s="1"/>
  <c r="D32" i="1" s="1"/>
  <c r="E14" i="1"/>
  <c r="E23" i="1" s="1"/>
  <c r="E32" i="1" s="1"/>
  <c r="F14" i="1"/>
  <c r="F23" i="1" s="1"/>
  <c r="C15" i="1"/>
  <c r="C24" i="1" s="1"/>
  <c r="D15" i="1"/>
  <c r="D24" i="1" s="1"/>
  <c r="D33" i="1" s="1"/>
  <c r="E15" i="1"/>
  <c r="E24" i="1" s="1"/>
  <c r="E33" i="1" s="1"/>
  <c r="F15" i="1"/>
  <c r="F24" i="1" s="1"/>
  <c r="F33" i="1" s="1"/>
  <c r="C16" i="1"/>
  <c r="C25" i="1" s="1"/>
  <c r="C34" i="1" s="1"/>
  <c r="D16" i="1"/>
  <c r="D25" i="1" s="1"/>
  <c r="D34" i="1" s="1"/>
  <c r="E16" i="1"/>
  <c r="E25" i="1" s="1"/>
  <c r="F16" i="1"/>
  <c r="F25" i="1" s="1"/>
  <c r="F34" i="1" s="1"/>
  <c r="C17" i="1"/>
  <c r="C26" i="1" s="1"/>
  <c r="C35" i="1" s="1"/>
  <c r="D17" i="1"/>
  <c r="D26" i="1" s="1"/>
  <c r="D35" i="1" s="1"/>
  <c r="E17" i="1"/>
  <c r="E26" i="1" s="1"/>
  <c r="E35" i="1" s="1"/>
  <c r="F17" i="1"/>
  <c r="F26" i="1" s="1"/>
  <c r="F35" i="1" s="1"/>
  <c r="C18" i="1"/>
  <c r="C27" i="1" s="1"/>
  <c r="C36" i="1" s="1"/>
  <c r="D18" i="1"/>
  <c r="D27" i="1" s="1"/>
  <c r="D36" i="1" s="1"/>
  <c r="E18" i="1"/>
  <c r="E27" i="1" s="1"/>
  <c r="E36" i="1" s="1"/>
  <c r="F18" i="1"/>
  <c r="F27" i="1" s="1"/>
  <c r="F36" i="1" s="1"/>
  <c r="D13" i="1"/>
  <c r="D22" i="1" s="1"/>
  <c r="E13" i="1"/>
  <c r="E22" i="1" s="1"/>
  <c r="E31" i="1" s="1"/>
  <c r="E37" i="1" s="1"/>
  <c r="E38" i="1" s="1"/>
  <c r="F13" i="1"/>
  <c r="F22" i="1" s="1"/>
  <c r="F31" i="1" s="1"/>
  <c r="F37" i="1" s="1"/>
  <c r="F38" i="1" s="1"/>
  <c r="C13" i="1"/>
  <c r="C22" i="1" s="1"/>
  <c r="C31" i="1" s="1"/>
  <c r="C37" i="1" l="1"/>
  <c r="C38" i="1" s="1"/>
  <c r="D37" i="1"/>
  <c r="D38" i="1" s="1"/>
  <c r="D42" i="1" s="1"/>
  <c r="E42" i="1"/>
  <c r="D46" i="1" l="1"/>
  <c r="F42" i="1"/>
  <c r="F46" i="1" s="1"/>
  <c r="C42" i="1"/>
  <c r="C46" i="1" s="1"/>
  <c r="C51" i="1" l="1"/>
  <c r="C52" i="1"/>
  <c r="C53" i="1"/>
  <c r="C54" i="1"/>
  <c r="C55" i="1"/>
  <c r="C50" i="1"/>
  <c r="F50" i="1"/>
  <c r="F51" i="1"/>
  <c r="F52" i="1"/>
  <c r="F53" i="1"/>
  <c r="F54" i="1"/>
  <c r="F55" i="1"/>
  <c r="D50" i="1"/>
  <c r="D51" i="1"/>
  <c r="D52" i="1"/>
  <c r="D53" i="1"/>
  <c r="D54" i="1"/>
  <c r="D55" i="1"/>
  <c r="E46" i="1"/>
  <c r="E50" i="1" l="1"/>
  <c r="E51" i="1"/>
  <c r="E52" i="1"/>
  <c r="E53" i="1"/>
  <c r="E54" i="1"/>
  <c r="E55" i="1"/>
</calcChain>
</file>

<file path=xl/sharedStrings.xml><?xml version="1.0" encoding="utf-8"?>
<sst xmlns="http://schemas.openxmlformats.org/spreadsheetml/2006/main" count="68" uniqueCount="22">
  <si>
    <t>指标1</t>
  </si>
  <si>
    <t>指标1</t>
    <phoneticPr fontId="1" type="noConversion"/>
  </si>
  <si>
    <t>指标2</t>
  </si>
  <si>
    <t>指标4</t>
  </si>
  <si>
    <t>渠道A</t>
    <phoneticPr fontId="1" type="noConversion"/>
  </si>
  <si>
    <t>渠道B</t>
    <phoneticPr fontId="1" type="noConversion"/>
  </si>
  <si>
    <t>渠道C</t>
    <phoneticPr fontId="1" type="noConversion"/>
  </si>
  <si>
    <t>渠道D</t>
    <phoneticPr fontId="1" type="noConversion"/>
  </si>
  <si>
    <t>渠道E</t>
    <phoneticPr fontId="1" type="noConversion"/>
  </si>
  <si>
    <t>渠道F</t>
    <phoneticPr fontId="1" type="noConversion"/>
  </si>
  <si>
    <t>指标3(负向)</t>
  </si>
  <si>
    <t>指标3(负向)</t>
    <phoneticPr fontId="1" type="noConversion"/>
  </si>
  <si>
    <t>原始数据</t>
    <phoneticPr fontId="1" type="noConversion"/>
  </si>
  <si>
    <t>数据标准化：区分正向指标/负向指标</t>
    <phoneticPr fontId="1" type="noConversion"/>
  </si>
  <si>
    <t>计算第j项指标下第i个渠道占该指标的比重 Pij</t>
    <phoneticPr fontId="1" type="noConversion"/>
  </si>
  <si>
    <t>ej</t>
    <phoneticPr fontId="1" type="noConversion"/>
  </si>
  <si>
    <t>sum</t>
    <phoneticPr fontId="1" type="noConversion"/>
  </si>
  <si>
    <t>计算第j项指标的熵值 ej(备注: 0 * 任何值 结果均为0)</t>
    <phoneticPr fontId="1" type="noConversion"/>
  </si>
  <si>
    <t>计算第j项指标的差异系数</t>
    <phoneticPr fontId="1" type="noConversion"/>
  </si>
  <si>
    <t>计算综合得分</t>
    <phoneticPr fontId="1" type="noConversion"/>
  </si>
  <si>
    <t>求权值 Wj</t>
    <phoneticPr fontId="1" type="noConversion"/>
  </si>
  <si>
    <t>https://www.jianshu.com/p/51e3f4d75943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</si>
</sst>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C00000"/>
      <name val="等线"/>
      <family val="2"/>
      <charset val="134"/>
      <scheme val="minor"/>
    </font>
    <font>
      <sz val="12"/>
      <color rgb="FFC0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179" fontId="0" fillId="0" borderId="0" xfId="0" applyNumberFormat="1">
      <alignment vertical="center"/>
    </xf>
    <xf numFmtId="0" fontId="3" fillId="0" borderId="0" xfId="0" applyFont="1">
      <alignment vertical="center"/>
    </xf>
    <xf numFmtId="179" fontId="4" fillId="0" borderId="0" xfId="0" applyNumberFormat="1" applyFont="1">
      <alignment vertical="center"/>
    </xf>
    <xf numFmtId="0" fontId="6" fillId="0" borderId="0" xfId="0" applyFont="1">
      <alignment vertical="center"/>
    </xf>
    <xf numFmtId="0" fontId="5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ianshu.com/p/51e3f4d759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7268-88BE-2642-8E26-584072CD1565}">
  <dimension ref="B1:G55"/>
  <sheetViews>
    <sheetView tabSelected="1" workbookViewId="0">
      <selection activeCell="H3" sqref="H3"/>
    </sheetView>
  </sheetViews>
  <sheetFormatPr baseColWidth="10" defaultRowHeight="16"/>
  <cols>
    <col min="3" max="3" width="11.5" bestFit="1" customWidth="1"/>
  </cols>
  <sheetData>
    <row r="1" spans="2:6">
      <c r="B1" s="6" t="s">
        <v>21</v>
      </c>
    </row>
    <row r="2" spans="2:6">
      <c r="B2" s="1" t="s">
        <v>12</v>
      </c>
    </row>
    <row r="3" spans="2:6">
      <c r="C3" t="s">
        <v>1</v>
      </c>
      <c r="D3" t="s">
        <v>2</v>
      </c>
      <c r="E3" t="s">
        <v>11</v>
      </c>
      <c r="F3" t="s">
        <v>3</v>
      </c>
    </row>
    <row r="4" spans="2:6">
      <c r="B4" t="s">
        <v>4</v>
      </c>
      <c r="C4">
        <v>23</v>
      </c>
      <c r="D4">
        <v>0.22</v>
      </c>
      <c r="E4">
        <v>12</v>
      </c>
      <c r="F4">
        <v>5800</v>
      </c>
    </row>
    <row r="5" spans="2:6">
      <c r="B5" t="s">
        <v>5</v>
      </c>
      <c r="C5">
        <v>50</v>
      </c>
      <c r="D5">
        <v>0.34</v>
      </c>
      <c r="E5">
        <v>15</v>
      </c>
      <c r="F5">
        <v>4900</v>
      </c>
    </row>
    <row r="6" spans="2:6">
      <c r="B6" t="s">
        <v>6</v>
      </c>
      <c r="C6">
        <v>12</v>
      </c>
      <c r="D6">
        <v>0.68</v>
      </c>
      <c r="E6">
        <v>15</v>
      </c>
      <c r="F6">
        <v>12000</v>
      </c>
    </row>
    <row r="7" spans="2:6">
      <c r="B7" t="s">
        <v>7</v>
      </c>
      <c r="C7">
        <v>34</v>
      </c>
      <c r="D7">
        <v>0.54</v>
      </c>
      <c r="E7">
        <v>10</v>
      </c>
      <c r="F7">
        <v>8800</v>
      </c>
    </row>
    <row r="8" spans="2:6">
      <c r="B8" t="s">
        <v>8</v>
      </c>
      <c r="C8">
        <v>45</v>
      </c>
      <c r="D8">
        <v>0.86</v>
      </c>
      <c r="E8">
        <v>24</v>
      </c>
      <c r="F8">
        <v>9200</v>
      </c>
    </row>
    <row r="9" spans="2:6">
      <c r="B9" t="s">
        <v>9</v>
      </c>
      <c r="C9">
        <v>23</v>
      </c>
      <c r="D9">
        <v>0.63</v>
      </c>
      <c r="E9">
        <v>19</v>
      </c>
      <c r="F9">
        <v>10000</v>
      </c>
    </row>
    <row r="11" spans="2:6">
      <c r="B11" s="1" t="s">
        <v>13</v>
      </c>
    </row>
    <row r="12" spans="2:6">
      <c r="C12" t="s">
        <v>1</v>
      </c>
      <c r="D12" t="s">
        <v>2</v>
      </c>
      <c r="E12" t="s">
        <v>11</v>
      </c>
      <c r="F12" t="s">
        <v>3</v>
      </c>
    </row>
    <row r="13" spans="2:6">
      <c r="B13" t="s">
        <v>4</v>
      </c>
      <c r="C13" s="2">
        <f>(C4-MIN(C$4:C$9))/(MAX(C$4:C$9)-MIN(C$4:C$9))</f>
        <v>0.28947368421052633</v>
      </c>
      <c r="D13" s="2">
        <f t="shared" ref="D13:F13" si="0">(D4-MIN(D$4:D$9))/(MAX(D$4:D$9)-MIN(D$4:D$9))</f>
        <v>0</v>
      </c>
      <c r="E13" s="2">
        <f t="shared" si="0"/>
        <v>0.14285714285714285</v>
      </c>
      <c r="F13" s="2">
        <f t="shared" si="0"/>
        <v>0.12676056338028169</v>
      </c>
    </row>
    <row r="14" spans="2:6">
      <c r="B14" t="s">
        <v>5</v>
      </c>
      <c r="C14" s="2">
        <f t="shared" ref="C14:F14" si="1">(C5-MIN(C$4:C$9))/(MAX(C$4:C$9)-MIN(C$4:C$9))</f>
        <v>1</v>
      </c>
      <c r="D14" s="2">
        <f t="shared" si="1"/>
        <v>0.18750000000000003</v>
      </c>
      <c r="E14" s="2">
        <f t="shared" si="1"/>
        <v>0.35714285714285715</v>
      </c>
      <c r="F14" s="2">
        <f t="shared" si="1"/>
        <v>0</v>
      </c>
    </row>
    <row r="15" spans="2:6">
      <c r="B15" t="s">
        <v>6</v>
      </c>
      <c r="C15" s="2">
        <f t="shared" ref="C15:F15" si="2">(C6-MIN(C$4:C$9))/(MAX(C$4:C$9)-MIN(C$4:C$9))</f>
        <v>0</v>
      </c>
      <c r="D15" s="2">
        <f t="shared" si="2"/>
        <v>0.71875000000000011</v>
      </c>
      <c r="E15" s="2">
        <f t="shared" si="2"/>
        <v>0.35714285714285715</v>
      </c>
      <c r="F15" s="2">
        <f t="shared" si="2"/>
        <v>1</v>
      </c>
    </row>
    <row r="16" spans="2:6">
      <c r="B16" t="s">
        <v>7</v>
      </c>
      <c r="C16" s="2">
        <f t="shared" ref="C16:F16" si="3">(C7-MIN(C$4:C$9))/(MAX(C$4:C$9)-MIN(C$4:C$9))</f>
        <v>0.57894736842105265</v>
      </c>
      <c r="D16" s="2">
        <f t="shared" si="3"/>
        <v>0.50000000000000011</v>
      </c>
      <c r="E16" s="2">
        <f t="shared" si="3"/>
        <v>0</v>
      </c>
      <c r="F16" s="2">
        <f t="shared" si="3"/>
        <v>0.54929577464788737</v>
      </c>
    </row>
    <row r="17" spans="2:6">
      <c r="B17" t="s">
        <v>8</v>
      </c>
      <c r="C17" s="2">
        <f t="shared" ref="C17:F17" si="4">(C8-MIN(C$4:C$9))/(MAX(C$4:C$9)-MIN(C$4:C$9))</f>
        <v>0.86842105263157898</v>
      </c>
      <c r="D17" s="2">
        <f t="shared" si="4"/>
        <v>1</v>
      </c>
      <c r="E17" s="2">
        <f t="shared" si="4"/>
        <v>1</v>
      </c>
      <c r="F17" s="2">
        <f t="shared" si="4"/>
        <v>0.60563380281690138</v>
      </c>
    </row>
    <row r="18" spans="2:6">
      <c r="B18" t="s">
        <v>9</v>
      </c>
      <c r="C18" s="2">
        <f t="shared" ref="C18:F18" si="5">(C9-MIN(C$4:C$9))/(MAX(C$4:C$9)-MIN(C$4:C$9))</f>
        <v>0.28947368421052633</v>
      </c>
      <c r="D18" s="2">
        <f t="shared" si="5"/>
        <v>0.640625</v>
      </c>
      <c r="E18" s="2">
        <f t="shared" si="5"/>
        <v>0.6428571428571429</v>
      </c>
      <c r="F18" s="2">
        <f t="shared" si="5"/>
        <v>0.71830985915492962</v>
      </c>
    </row>
    <row r="20" spans="2:6">
      <c r="B20" s="1" t="s">
        <v>14</v>
      </c>
    </row>
    <row r="21" spans="2:6">
      <c r="C21" t="s">
        <v>1</v>
      </c>
      <c r="D21" t="s">
        <v>2</v>
      </c>
      <c r="E21" t="s">
        <v>11</v>
      </c>
      <c r="F21" t="s">
        <v>3</v>
      </c>
    </row>
    <row r="22" spans="2:6">
      <c r="B22" t="s">
        <v>4</v>
      </c>
      <c r="C22" s="2">
        <f>C13/SUM(C$13:C$18)</f>
        <v>9.5652173913043481E-2</v>
      </c>
      <c r="D22" s="2">
        <f t="shared" ref="D22:F22" si="6">D13/SUM(D$13:D$18)</f>
        <v>0</v>
      </c>
      <c r="E22" s="2">
        <f t="shared" si="6"/>
        <v>5.7142857142857141E-2</v>
      </c>
      <c r="F22" s="2">
        <f t="shared" si="6"/>
        <v>4.2253521126760563E-2</v>
      </c>
    </row>
    <row r="23" spans="2:6">
      <c r="B23" t="s">
        <v>5</v>
      </c>
      <c r="C23" s="2">
        <f t="shared" ref="C23:F27" si="7">C14/SUM(C$13:C$18)</f>
        <v>0.33043478260869569</v>
      </c>
      <c r="D23" s="2">
        <f t="shared" si="7"/>
        <v>6.1538461538461549E-2</v>
      </c>
      <c r="E23" s="2">
        <f t="shared" si="7"/>
        <v>0.14285714285714285</v>
      </c>
      <c r="F23" s="2">
        <f t="shared" si="7"/>
        <v>0</v>
      </c>
    </row>
    <row r="24" spans="2:6">
      <c r="B24" t="s">
        <v>6</v>
      </c>
      <c r="C24" s="2">
        <f t="shared" si="7"/>
        <v>0</v>
      </c>
      <c r="D24" s="2">
        <f t="shared" si="7"/>
        <v>0.23589743589743595</v>
      </c>
      <c r="E24" s="2">
        <f t="shared" si="7"/>
        <v>0.14285714285714285</v>
      </c>
      <c r="F24" s="2">
        <f t="shared" si="7"/>
        <v>0.33333333333333331</v>
      </c>
    </row>
    <row r="25" spans="2:6">
      <c r="B25" t="s">
        <v>7</v>
      </c>
      <c r="C25" s="2">
        <f t="shared" si="7"/>
        <v>0.19130434782608696</v>
      </c>
      <c r="D25" s="2">
        <f t="shared" si="7"/>
        <v>0.16410256410256413</v>
      </c>
      <c r="E25" s="2">
        <f t="shared" si="7"/>
        <v>0</v>
      </c>
      <c r="F25" s="2">
        <f t="shared" si="7"/>
        <v>0.18309859154929578</v>
      </c>
    </row>
    <row r="26" spans="2:6">
      <c r="B26" t="s">
        <v>8</v>
      </c>
      <c r="C26" s="2">
        <f t="shared" si="7"/>
        <v>0.28695652173913044</v>
      </c>
      <c r="D26" s="2">
        <f t="shared" si="7"/>
        <v>0.3282051282051282</v>
      </c>
      <c r="E26" s="2">
        <f t="shared" si="7"/>
        <v>0.4</v>
      </c>
      <c r="F26" s="2">
        <f t="shared" si="7"/>
        <v>0.20187793427230047</v>
      </c>
    </row>
    <row r="27" spans="2:6">
      <c r="B27" t="s">
        <v>9</v>
      </c>
      <c r="C27" s="2">
        <f t="shared" si="7"/>
        <v>9.5652173913043481E-2</v>
      </c>
      <c r="D27" s="2">
        <f t="shared" si="7"/>
        <v>0.21025641025641026</v>
      </c>
      <c r="E27" s="2">
        <f t="shared" si="7"/>
        <v>0.25714285714285717</v>
      </c>
      <c r="F27" s="2">
        <f t="shared" si="7"/>
        <v>0.23943661971830987</v>
      </c>
    </row>
    <row r="29" spans="2:6">
      <c r="B29" s="1" t="s">
        <v>17</v>
      </c>
    </row>
    <row r="30" spans="2:6">
      <c r="C30" t="s">
        <v>1</v>
      </c>
      <c r="D30" t="s">
        <v>2</v>
      </c>
      <c r="E30" t="s">
        <v>11</v>
      </c>
      <c r="F30" t="s">
        <v>3</v>
      </c>
    </row>
    <row r="31" spans="2:6">
      <c r="B31" t="s">
        <v>4</v>
      </c>
      <c r="C31" s="2">
        <f>C22*LN(C22)</f>
        <v>-0.22449917748881457</v>
      </c>
      <c r="D31" s="2">
        <v>0</v>
      </c>
      <c r="E31" s="2">
        <f t="shared" ref="E31:F31" si="8">E22*LN(E22)</f>
        <v>-0.16355433605311248</v>
      </c>
      <c r="F31" s="2">
        <f t="shared" si="8"/>
        <v>-0.13369299669182561</v>
      </c>
    </row>
    <row r="32" spans="2:6">
      <c r="B32" t="s">
        <v>5</v>
      </c>
      <c r="C32" s="2">
        <f t="shared" ref="C32:E32" si="9">C23*LN(C23)</f>
        <v>-0.36590562441913782</v>
      </c>
      <c r="D32" s="2">
        <f t="shared" si="9"/>
        <v>-0.17157494823235367</v>
      </c>
      <c r="E32" s="2">
        <f t="shared" si="9"/>
        <v>-0.27798716415075903</v>
      </c>
      <c r="F32" s="2">
        <v>0</v>
      </c>
    </row>
    <row r="33" spans="2:7">
      <c r="B33" t="s">
        <v>6</v>
      </c>
      <c r="C33" s="2">
        <v>0</v>
      </c>
      <c r="D33" s="2">
        <f t="shared" ref="D33:F33" si="10">D24*LN(D24)</f>
        <v>-0.34072038695094353</v>
      </c>
      <c r="E33" s="2">
        <f t="shared" si="10"/>
        <v>-0.27798716415075903</v>
      </c>
      <c r="F33" s="2">
        <f t="shared" si="10"/>
        <v>-0.36620409622270322</v>
      </c>
    </row>
    <row r="34" spans="2:7">
      <c r="B34" t="s">
        <v>7</v>
      </c>
      <c r="C34" s="2">
        <f t="shared" ref="C34:F34" si="11">C25*LN(C25)</f>
        <v>-0.31639628565311784</v>
      </c>
      <c r="D34" s="2">
        <f t="shared" si="11"/>
        <v>-0.29657659992024948</v>
      </c>
      <c r="E34" s="2">
        <v>0</v>
      </c>
      <c r="F34" s="2">
        <f t="shared" si="11"/>
        <v>-0.31085206696531159</v>
      </c>
    </row>
    <row r="35" spans="2:7">
      <c r="B35" t="s">
        <v>8</v>
      </c>
      <c r="C35" s="2">
        <f t="shared" ref="C35:F35" si="12">C26*LN(C26)</f>
        <v>-0.35824357137037743</v>
      </c>
      <c r="D35" s="2">
        <f t="shared" si="12"/>
        <v>-0.36565874057979891</v>
      </c>
      <c r="E35" s="2">
        <f t="shared" si="12"/>
        <v>-0.36651629274966202</v>
      </c>
      <c r="F35" s="2">
        <f t="shared" si="12"/>
        <v>-0.32302327770273281</v>
      </c>
    </row>
    <row r="36" spans="2:7">
      <c r="B36" t="s">
        <v>9</v>
      </c>
      <c r="C36" s="2">
        <f t="shared" ref="C36:F36" si="13">C27*LN(C27)</f>
        <v>-0.22449917748881457</v>
      </c>
      <c r="D36" s="2">
        <f t="shared" si="13"/>
        <v>-0.32787962649352309</v>
      </c>
      <c r="E36" s="2">
        <f t="shared" si="13"/>
        <v>-0.34923175306796428</v>
      </c>
      <c r="F36" s="2">
        <f t="shared" si="13"/>
        <v>-0.34226663465840407</v>
      </c>
    </row>
    <row r="37" spans="2:7">
      <c r="B37" t="s">
        <v>16</v>
      </c>
      <c r="C37" s="2">
        <f>SUM(C31:C36)</f>
        <v>-1.4895438364202622</v>
      </c>
      <c r="D37" s="2">
        <f t="shared" ref="D37:F37" si="14">SUM(D31:D36)</f>
        <v>-1.5024103021768687</v>
      </c>
      <c r="E37" s="2">
        <f t="shared" si="14"/>
        <v>-1.4352767101722568</v>
      </c>
      <c r="F37" s="2">
        <f t="shared" si="14"/>
        <v>-1.4760390722409773</v>
      </c>
    </row>
    <row r="38" spans="2:7">
      <c r="B38" s="3" t="s">
        <v>15</v>
      </c>
      <c r="C38" s="4">
        <f>-(1/LN(6))*C37</f>
        <v>0.83133024382006104</v>
      </c>
      <c r="D38" s="4">
        <f t="shared" ref="D38:F38" si="15">-(1/LN(6))*D37</f>
        <v>0.83851115508498086</v>
      </c>
      <c r="E38" s="4">
        <f t="shared" si="15"/>
        <v>0.80104318398865104</v>
      </c>
      <c r="F38" s="4">
        <f t="shared" si="15"/>
        <v>0.82379309142253354</v>
      </c>
    </row>
    <row r="40" spans="2:7">
      <c r="B40" s="1" t="s">
        <v>18</v>
      </c>
    </row>
    <row r="41" spans="2:7">
      <c r="C41" t="s">
        <v>1</v>
      </c>
      <c r="D41" t="s">
        <v>2</v>
      </c>
      <c r="E41" t="s">
        <v>11</v>
      </c>
      <c r="F41" t="s">
        <v>3</v>
      </c>
    </row>
    <row r="42" spans="2:7">
      <c r="C42" s="2">
        <f>(1-C38)/(4-SUM($C38:$F38))</f>
        <v>0.23913854706984108</v>
      </c>
      <c r="D42" s="2">
        <f t="shared" ref="D42:F42" si="16">(1-D38)/(4-SUM($C38:$F38))</f>
        <v>0.22895751209698906</v>
      </c>
      <c r="E42" s="2">
        <f t="shared" si="16"/>
        <v>0.28207928313976238</v>
      </c>
      <c r="F42" s="2">
        <f t="shared" si="16"/>
        <v>0.24982465769340687</v>
      </c>
      <c r="G42" s="2"/>
    </row>
    <row r="44" spans="2:7">
      <c r="B44" s="1" t="s">
        <v>20</v>
      </c>
    </row>
    <row r="45" spans="2:7">
      <c r="C45" s="5" t="s">
        <v>0</v>
      </c>
      <c r="D45" s="5" t="s">
        <v>2</v>
      </c>
      <c r="E45" s="5" t="s">
        <v>10</v>
      </c>
      <c r="F45" s="5" t="s">
        <v>3</v>
      </c>
    </row>
    <row r="46" spans="2:7">
      <c r="C46" s="2">
        <f>C42/SUM($C42:$F42)</f>
        <v>0.23913854706984122</v>
      </c>
      <c r="D46" s="2">
        <f t="shared" ref="D46:F46" si="17">D42/SUM($C42:$F42)</f>
        <v>0.2289575120969892</v>
      </c>
      <c r="E46" s="2">
        <f t="shared" si="17"/>
        <v>0.28207928313976255</v>
      </c>
      <c r="F46" s="2">
        <f t="shared" si="17"/>
        <v>0.249824657693407</v>
      </c>
    </row>
    <row r="48" spans="2:7">
      <c r="B48" s="1" t="s">
        <v>19</v>
      </c>
    </row>
    <row r="49" spans="2:6">
      <c r="C49" s="5" t="s">
        <v>0</v>
      </c>
      <c r="D49" s="5" t="s">
        <v>2</v>
      </c>
      <c r="E49" s="5" t="s">
        <v>10</v>
      </c>
      <c r="F49" s="5" t="s">
        <v>3</v>
      </c>
    </row>
    <row r="50" spans="2:6">
      <c r="B50" t="s">
        <v>4</v>
      </c>
      <c r="C50">
        <f>C$46*C22</f>
        <v>2.2874121893636988E-2</v>
      </c>
      <c r="D50">
        <f t="shared" ref="D50:F50" si="18">D$46*D22</f>
        <v>0</v>
      </c>
      <c r="E50">
        <f t="shared" si="18"/>
        <v>1.6118816179415001E-2</v>
      </c>
      <c r="F50">
        <f t="shared" si="18"/>
        <v>1.0555971451834099E-2</v>
      </c>
    </row>
    <row r="51" spans="2:6">
      <c r="B51" t="s">
        <v>5</v>
      </c>
      <c r="C51">
        <f t="shared" ref="C51:F51" si="19">C$46*C23</f>
        <v>7.9019693814382327E-2</v>
      </c>
      <c r="D51">
        <f t="shared" si="19"/>
        <v>1.4089693052122414E-2</v>
      </c>
      <c r="E51">
        <f t="shared" si="19"/>
        <v>4.0297040448537505E-2</v>
      </c>
      <c r="F51">
        <f t="shared" si="19"/>
        <v>0</v>
      </c>
    </row>
    <row r="52" spans="2:6">
      <c r="B52" t="s">
        <v>6</v>
      </c>
      <c r="C52">
        <f t="shared" ref="C52:F52" si="20">C$46*C24</f>
        <v>0</v>
      </c>
      <c r="D52">
        <f t="shared" si="20"/>
        <v>5.4010490033135926E-2</v>
      </c>
      <c r="E52">
        <f t="shared" si="20"/>
        <v>4.0297040448537505E-2</v>
      </c>
      <c r="F52">
        <f t="shared" si="20"/>
        <v>8.3274885897802325E-2</v>
      </c>
    </row>
    <row r="53" spans="2:6">
      <c r="B53" t="s">
        <v>7</v>
      </c>
      <c r="C53">
        <f t="shared" ref="C53:F53" si="21">C$46*C25</f>
        <v>4.5748243787273976E-2</v>
      </c>
      <c r="D53">
        <f t="shared" si="21"/>
        <v>3.7572514805659769E-2</v>
      </c>
      <c r="E53">
        <f t="shared" si="21"/>
        <v>0</v>
      </c>
      <c r="F53">
        <f t="shared" si="21"/>
        <v>4.574254295794776E-2</v>
      </c>
    </row>
    <row r="54" spans="2:6">
      <c r="B54" t="s">
        <v>8</v>
      </c>
      <c r="C54">
        <f t="shared" ref="C54:F54" si="22">C$46*C26</f>
        <v>6.8622365680910957E-2</v>
      </c>
      <c r="D54">
        <f t="shared" si="22"/>
        <v>7.5145029611319525E-2</v>
      </c>
      <c r="E54">
        <f t="shared" si="22"/>
        <v>0.11283171325590502</v>
      </c>
      <c r="F54">
        <f t="shared" si="22"/>
        <v>5.0434085825429582E-2</v>
      </c>
    </row>
    <row r="55" spans="2:6">
      <c r="B55" t="s">
        <v>9</v>
      </c>
      <c r="C55">
        <f t="shared" ref="C55:F55" si="23">C$46*C27</f>
        <v>2.2874121893636988E-2</v>
      </c>
      <c r="D55">
        <f t="shared" si="23"/>
        <v>4.8139784594751572E-2</v>
      </c>
      <c r="E55">
        <f t="shared" si="23"/>
        <v>7.2534672807367515E-2</v>
      </c>
      <c r="F55">
        <f t="shared" si="23"/>
        <v>5.9817171560393227E-2</v>
      </c>
    </row>
  </sheetData>
  <phoneticPr fontId="1" type="noConversion"/>
  <hyperlinks>
    <hyperlink ref="B1" r:id="rId1" xr:uid="{C6263E97-5EEE-5543-80AC-F8963C5964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2024-03-23T06:16:04Z</dcterms:created>
  <dcterms:modified xsi:type="dcterms:W3CDTF">2024-03-23T12:22:17Z</dcterms:modified>
</cp:coreProperties>
</file>