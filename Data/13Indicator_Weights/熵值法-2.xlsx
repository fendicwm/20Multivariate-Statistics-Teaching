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教师/20**教学笔记/多元统计/评价指标权重/"/>
    </mc:Choice>
  </mc:AlternateContent>
  <xr:revisionPtr revIDLastSave="0" documentId="13_ncr:1_{241AE7FA-4905-F44E-A9B5-F3FAAAA3D74E}" xr6:coauthVersionLast="47" xr6:coauthVersionMax="47" xr10:uidLastSave="{00000000-0000-0000-0000-000000000000}"/>
  <bookViews>
    <workbookView xWindow="280" yWindow="500" windowWidth="28240" windowHeight="15760" xr2:uid="{ED8EF540-CDC4-7C49-8F5F-5F97604400C5}"/>
  </bookViews>
  <sheets>
    <sheet name="Sheet1" sheetId="1" r:id="rId1"/>
  </sheets>
  <definedNames>
    <definedName name="HL">Sheet1!$C$16:$G$16</definedName>
    <definedName name="Max">Sheet1!$C$27:$G$27</definedName>
    <definedName name="Min">Sheet1!$C$28:$G$28</definedName>
    <definedName name="R_">Sheet1!$C$29:$G$29</definedName>
    <definedName name="Ran">Sheet1!$C$29:$G$29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88" i="1"/>
  <c r="H89" i="1"/>
  <c r="H90" i="1"/>
  <c r="H91" i="1"/>
  <c r="H92" i="1"/>
  <c r="H93" i="1"/>
  <c r="H94" i="1"/>
  <c r="H95" i="1"/>
  <c r="H86" i="1"/>
  <c r="C70" i="1"/>
  <c r="F34" i="1"/>
  <c r="F46" i="1" s="1"/>
  <c r="D36" i="1"/>
  <c r="D48" i="1" s="1"/>
  <c r="E36" i="1"/>
  <c r="E48" i="1" s="1"/>
  <c r="D37" i="1"/>
  <c r="D49" i="1" s="1"/>
  <c r="D40" i="1"/>
  <c r="D52" i="1" s="1"/>
  <c r="E40" i="1"/>
  <c r="E52" i="1" s="1"/>
  <c r="D41" i="1"/>
  <c r="D53" i="1" s="1"/>
  <c r="D27" i="1"/>
  <c r="E27" i="1"/>
  <c r="E37" i="1" s="1"/>
  <c r="E49" i="1" s="1"/>
  <c r="F27" i="1"/>
  <c r="F29" i="1" s="1"/>
  <c r="G27" i="1"/>
  <c r="D28" i="1"/>
  <c r="D34" i="1" s="1"/>
  <c r="D46" i="1" s="1"/>
  <c r="E28" i="1"/>
  <c r="E29" i="1" s="1"/>
  <c r="F28" i="1"/>
  <c r="F36" i="1" s="1"/>
  <c r="F48" i="1" s="1"/>
  <c r="G28" i="1"/>
  <c r="D29" i="1"/>
  <c r="C28" i="1"/>
  <c r="C27" i="1"/>
  <c r="F39" i="1" l="1"/>
  <c r="F51" i="1" s="1"/>
  <c r="F35" i="1"/>
  <c r="F47" i="1" s="1"/>
  <c r="F33" i="1"/>
  <c r="F45" i="1" s="1"/>
  <c r="F38" i="1"/>
  <c r="F50" i="1" s="1"/>
  <c r="E33" i="1"/>
  <c r="E45" i="1" s="1"/>
  <c r="E42" i="1"/>
  <c r="E54" i="1" s="1"/>
  <c r="F41" i="1"/>
  <c r="F53" i="1" s="1"/>
  <c r="G40" i="1"/>
  <c r="G52" i="1" s="1"/>
  <c r="C40" i="1"/>
  <c r="C52" i="1" s="1"/>
  <c r="D39" i="1"/>
  <c r="D51" i="1" s="1"/>
  <c r="E38" i="1"/>
  <c r="E50" i="1" s="1"/>
  <c r="F37" i="1"/>
  <c r="F49" i="1" s="1"/>
  <c r="G36" i="1"/>
  <c r="G48" i="1" s="1"/>
  <c r="D35" i="1"/>
  <c r="D47" i="1" s="1"/>
  <c r="E34" i="1"/>
  <c r="E46" i="1" s="1"/>
  <c r="E62" i="1" s="1"/>
  <c r="F42" i="1"/>
  <c r="F54" i="1" s="1"/>
  <c r="E39" i="1"/>
  <c r="E51" i="1" s="1"/>
  <c r="C37" i="1"/>
  <c r="C49" i="1" s="1"/>
  <c r="E35" i="1"/>
  <c r="E47" i="1" s="1"/>
  <c r="D33" i="1"/>
  <c r="D45" i="1" s="1"/>
  <c r="D42" i="1"/>
  <c r="D54" i="1" s="1"/>
  <c r="E41" i="1"/>
  <c r="E53" i="1" s="1"/>
  <c r="F40" i="1"/>
  <c r="F52" i="1" s="1"/>
  <c r="G39" i="1"/>
  <c r="G51" i="1" s="1"/>
  <c r="C39" i="1"/>
  <c r="C51" i="1" s="1"/>
  <c r="D38" i="1"/>
  <c r="D50" i="1" s="1"/>
  <c r="D63" i="1" s="1"/>
  <c r="G29" i="1"/>
  <c r="C29" i="1"/>
  <c r="E66" i="1" l="1"/>
  <c r="F67" i="1"/>
  <c r="E61" i="1"/>
  <c r="F62" i="1"/>
  <c r="F63" i="1"/>
  <c r="F61" i="1"/>
  <c r="C34" i="1"/>
  <c r="C46" i="1" s="1"/>
  <c r="C42" i="1"/>
  <c r="C54" i="1" s="1"/>
  <c r="C38" i="1"/>
  <c r="C50" i="1" s="1"/>
  <c r="D58" i="1"/>
  <c r="E64" i="1"/>
  <c r="D60" i="1"/>
  <c r="E63" i="1"/>
  <c r="F66" i="1"/>
  <c r="F58" i="1"/>
  <c r="D59" i="1"/>
  <c r="C35" i="1"/>
  <c r="C47" i="1" s="1"/>
  <c r="E60" i="1"/>
  <c r="D67" i="1"/>
  <c r="E59" i="1"/>
  <c r="D62" i="1"/>
  <c r="G37" i="1"/>
  <c r="G49" i="1" s="1"/>
  <c r="G34" i="1"/>
  <c r="G46" i="1" s="1"/>
  <c r="G38" i="1"/>
  <c r="G50" i="1" s="1"/>
  <c r="G33" i="1"/>
  <c r="G45" i="1" s="1"/>
  <c r="G41" i="1"/>
  <c r="G53" i="1" s="1"/>
  <c r="G42" i="1"/>
  <c r="G54" i="1" s="1"/>
  <c r="F65" i="1"/>
  <c r="C33" i="1"/>
  <c r="C45" i="1" s="1"/>
  <c r="C41" i="1"/>
  <c r="C53" i="1" s="1"/>
  <c r="C36" i="1"/>
  <c r="C48" i="1" s="1"/>
  <c r="D64" i="1"/>
  <c r="E67" i="1"/>
  <c r="F60" i="1"/>
  <c r="F59" i="1"/>
  <c r="D61" i="1"/>
  <c r="D66" i="1"/>
  <c r="E58" i="1"/>
  <c r="F64" i="1"/>
  <c r="D65" i="1"/>
  <c r="E65" i="1"/>
  <c r="G35" i="1"/>
  <c r="G47" i="1" s="1"/>
  <c r="F74" i="1" l="1" a="1"/>
  <c r="F74" i="1" s="1"/>
  <c r="F78" i="1" s="1"/>
  <c r="C66" i="1"/>
  <c r="D74" i="1" a="1"/>
  <c r="D74" i="1" s="1"/>
  <c r="D78" i="1" s="1"/>
  <c r="E74" i="1" a="1"/>
  <c r="E74" i="1" s="1"/>
  <c r="E78" i="1" s="1"/>
  <c r="G66" i="1"/>
  <c r="G61" i="1"/>
  <c r="C67" i="1"/>
  <c r="C65" i="1"/>
  <c r="C60" i="1"/>
  <c r="C58" i="1"/>
  <c r="G64" i="1"/>
  <c r="C59" i="1"/>
  <c r="C62" i="1"/>
  <c r="G62" i="1"/>
  <c r="C63" i="1"/>
  <c r="G58" i="1"/>
  <c r="G63" i="1"/>
  <c r="G60" i="1"/>
  <c r="C61" i="1"/>
  <c r="G67" i="1"/>
  <c r="G59" i="1"/>
  <c r="G65" i="1"/>
  <c r="C64" i="1"/>
  <c r="G74" i="1" l="1" a="1"/>
  <c r="G74" i="1" s="1"/>
  <c r="G78" i="1" s="1"/>
  <c r="G82" i="1" s="1"/>
  <c r="C74" i="1" a="1"/>
  <c r="C74" i="1" s="1"/>
  <c r="C78" i="1" s="1"/>
  <c r="C82" i="1" l="1"/>
  <c r="F82" i="1"/>
  <c r="D82" i="1"/>
  <c r="E82" i="1"/>
  <c r="G87" i="1"/>
  <c r="G91" i="1"/>
  <c r="G95" i="1"/>
  <c r="G86" i="1"/>
  <c r="G90" i="1"/>
  <c r="G94" i="1"/>
  <c r="G88" i="1"/>
  <c r="G92" i="1"/>
  <c r="G89" i="1"/>
  <c r="G93" i="1"/>
  <c r="E89" i="1" l="1"/>
  <c r="E93" i="1"/>
  <c r="E88" i="1"/>
  <c r="E92" i="1"/>
  <c r="E90" i="1"/>
  <c r="E94" i="1"/>
  <c r="E87" i="1"/>
  <c r="E91" i="1"/>
  <c r="E95" i="1"/>
  <c r="E86" i="1"/>
  <c r="D90" i="1"/>
  <c r="D94" i="1"/>
  <c r="D89" i="1"/>
  <c r="D93" i="1"/>
  <c r="D87" i="1"/>
  <c r="D91" i="1"/>
  <c r="D95" i="1"/>
  <c r="D86" i="1"/>
  <c r="D88" i="1"/>
  <c r="D92" i="1"/>
  <c r="F88" i="1"/>
  <c r="F92" i="1"/>
  <c r="F87" i="1"/>
  <c r="F91" i="1"/>
  <c r="F95" i="1"/>
  <c r="F86" i="1"/>
  <c r="F89" i="1"/>
  <c r="F93" i="1"/>
  <c r="F90" i="1"/>
  <c r="F94" i="1"/>
  <c r="C87" i="1"/>
  <c r="C91" i="1"/>
  <c r="C95" i="1"/>
  <c r="C90" i="1"/>
  <c r="C94" i="1"/>
  <c r="C88" i="1"/>
  <c r="C92" i="1"/>
  <c r="C86" i="1"/>
  <c r="C89" i="1"/>
  <c r="C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<sst xmlns="http://schemas.openxmlformats.org/spreadsheetml/2006/main" count="77" uniqueCount="26">
  <si>
    <t>ID</t>
    <phoneticPr fontId="1" type="noConversion"/>
  </si>
  <si>
    <t>V1</t>
    <phoneticPr fontId="1" type="noConversion"/>
  </si>
  <si>
    <t>V2</t>
  </si>
  <si>
    <t>V3</t>
  </si>
  <si>
    <t>V4</t>
  </si>
  <si>
    <t>V5</t>
  </si>
  <si>
    <t>一、原始数据</t>
    <phoneticPr fontId="1" type="noConversion"/>
  </si>
  <si>
    <t>二、数据预处理</t>
    <phoneticPr fontId="1" type="noConversion"/>
  </si>
  <si>
    <t>H</t>
    <phoneticPr fontId="1" type="noConversion"/>
  </si>
  <si>
    <t>L</t>
    <phoneticPr fontId="1" type="noConversion"/>
  </si>
  <si>
    <t>Max</t>
    <phoneticPr fontId="1" type="noConversion"/>
  </si>
  <si>
    <t>Min</t>
    <phoneticPr fontId="1" type="noConversion"/>
  </si>
  <si>
    <t>HL</t>
    <phoneticPr fontId="1" type="noConversion"/>
  </si>
  <si>
    <t>注：【公式】-“根据所选内容创建”</t>
    <phoneticPr fontId="1" type="noConversion"/>
  </si>
  <si>
    <t>三、标准化</t>
    <phoneticPr fontId="1" type="noConversion"/>
  </si>
  <si>
    <t>Ran</t>
    <phoneticPr fontId="1" type="noConversion"/>
  </si>
  <si>
    <t>四、平移</t>
    <phoneticPr fontId="1" type="noConversion"/>
  </si>
  <si>
    <t>五、Pij</t>
    <phoneticPr fontId="1" type="noConversion"/>
  </si>
  <si>
    <t>六、-k</t>
    <phoneticPr fontId="1" type="noConversion"/>
  </si>
  <si>
    <t>注：10为数据行数</t>
    <phoneticPr fontId="1" type="noConversion"/>
  </si>
  <si>
    <t>七、ej</t>
    <phoneticPr fontId="1" type="noConversion"/>
  </si>
  <si>
    <t xml:space="preserve">   </t>
    <phoneticPr fontId="1" type="noConversion"/>
  </si>
  <si>
    <t>八、gj</t>
    <phoneticPr fontId="1" type="noConversion"/>
  </si>
  <si>
    <t>九、W</t>
    <phoneticPr fontId="1" type="noConversion"/>
  </si>
  <si>
    <t>十、线性加权</t>
    <phoneticPr fontId="1" type="noConversion"/>
  </si>
  <si>
    <t>权重总分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</si>
</sst>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C00000"/>
      <name val="等线"/>
      <family val="2"/>
      <charset val="134"/>
      <scheme val="minor"/>
    </font>
    <font>
      <sz val="12"/>
      <color rgb="FFC00000"/>
      <name val="等线"/>
      <family val="4"/>
      <charset val="134"/>
      <scheme val="minor"/>
    </font>
    <font>
      <b/>
      <sz val="12"/>
      <color rgb="FFC0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B6A3-C5DF-DD47-B578-103F00678FF6}">
  <dimension ref="A1:H95"/>
  <sheetViews>
    <sheetView tabSelected="1" topLeftCell="A74" workbookViewId="0">
      <selection activeCell="I82" sqref="I82"/>
    </sheetView>
  </sheetViews>
  <sheetFormatPr baseColWidth="10" defaultRowHeight="16"/>
  <cols>
    <col min="1" max="1" width="14.1640625" style="3" bestFit="1" customWidth="1"/>
    <col min="2" max="2" width="10.83203125" style="3"/>
    <col min="3" max="3" width="19.6640625" style="3" bestFit="1" customWidth="1"/>
    <col min="4" max="5" width="11.5" style="3" bestFit="1" customWidth="1"/>
    <col min="6" max="7" width="13.6640625" style="3" bestFit="1" customWidth="1"/>
    <col min="8" max="8" width="34.83203125" style="3" bestFit="1" customWidth="1"/>
    <col min="9" max="16384" width="10.83203125" style="3"/>
  </cols>
  <sheetData>
    <row r="1" spans="1:8">
      <c r="A1" s="3" t="s">
        <v>6</v>
      </c>
    </row>
    <row r="2" spans="1:8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8">
      <c r="B3" s="3">
        <v>1</v>
      </c>
      <c r="C3" s="4">
        <v>0.56324101824464323</v>
      </c>
      <c r="D3" s="4">
        <v>87.336997905437372</v>
      </c>
      <c r="E3" s="4">
        <v>49.508742312671963</v>
      </c>
      <c r="F3" s="4">
        <v>5293.0820022211792</v>
      </c>
      <c r="G3" s="4">
        <v>5923.6438946908547</v>
      </c>
    </row>
    <row r="4" spans="1:8">
      <c r="B4" s="3">
        <v>2</v>
      </c>
      <c r="C4" s="4">
        <v>0.39179363771890924</v>
      </c>
      <c r="D4" s="4">
        <v>82.923796685842703</v>
      </c>
      <c r="E4" s="4">
        <v>43.432049077671046</v>
      </c>
      <c r="F4" s="4">
        <v>7829.2113313587433</v>
      </c>
      <c r="G4" s="4">
        <v>4182.9380691903352</v>
      </c>
    </row>
    <row r="5" spans="1:8">
      <c r="B5" s="3">
        <v>3</v>
      </c>
      <c r="C5" s="4">
        <v>0.87566914170778787</v>
      </c>
      <c r="D5" s="4">
        <v>80.250898958300652</v>
      </c>
      <c r="E5" s="4">
        <v>32.448848417237798</v>
      </c>
      <c r="F5" s="4">
        <v>5554.846146402343</v>
      </c>
      <c r="G5" s="4">
        <v>4640.1288819686179</v>
      </c>
    </row>
    <row r="6" spans="1:8">
      <c r="B6" s="3">
        <v>4</v>
      </c>
      <c r="C6" s="4">
        <v>0.37126468278992208</v>
      </c>
      <c r="D6" s="4">
        <v>86.858792159174939</v>
      </c>
      <c r="E6" s="4">
        <v>27.795348515638779</v>
      </c>
      <c r="F6" s="4">
        <v>6299.1825841829104</v>
      </c>
      <c r="G6" s="4">
        <v>6146.1192465602044</v>
      </c>
    </row>
    <row r="7" spans="1:8">
      <c r="B7" s="3">
        <v>5</v>
      </c>
      <c r="C7" s="4">
        <v>0.84552365022037346</v>
      </c>
      <c r="D7" s="4">
        <v>85.719819253180091</v>
      </c>
      <c r="E7" s="4">
        <v>26.422502340945648</v>
      </c>
      <c r="F7" s="4">
        <v>6361.6923621677288</v>
      </c>
      <c r="G7" s="4">
        <v>5326.1769373557418</v>
      </c>
    </row>
    <row r="8" spans="1:8">
      <c r="B8" s="3">
        <v>6</v>
      </c>
      <c r="C8" s="4">
        <v>0.7159892538171212</v>
      </c>
      <c r="D8" s="4">
        <v>83.002188197803775</v>
      </c>
      <c r="E8" s="4">
        <v>22.996844273524751</v>
      </c>
      <c r="F8" s="4">
        <v>6963.5309530252271</v>
      </c>
      <c r="G8" s="4">
        <v>4055.7861379607516</v>
      </c>
    </row>
    <row r="9" spans="1:8">
      <c r="B9" s="3">
        <v>7</v>
      </c>
      <c r="C9" s="4">
        <v>0.6313889043551818</v>
      </c>
      <c r="D9" s="4">
        <v>87.777040487982816</v>
      </c>
      <c r="E9" s="4">
        <v>47.961705130507099</v>
      </c>
      <c r="F9" s="4">
        <v>6064.7274949889288</v>
      </c>
      <c r="G9" s="4">
        <v>6097.6207063522288</v>
      </c>
    </row>
    <row r="10" spans="1:8">
      <c r="B10" s="3">
        <v>8</v>
      </c>
      <c r="C10" s="4">
        <v>0.75331549754055005</v>
      </c>
      <c r="D10" s="4">
        <v>88.719481527209041</v>
      </c>
      <c r="E10" s="4">
        <v>22.378128432844825</v>
      </c>
      <c r="F10" s="4">
        <v>7875.008278933823</v>
      </c>
      <c r="G10" s="4">
        <v>5711.2116619065455</v>
      </c>
    </row>
    <row r="11" spans="1:8">
      <c r="B11" s="3">
        <v>9</v>
      </c>
      <c r="C11" s="4">
        <v>0.97356716402506793</v>
      </c>
      <c r="D11" s="4">
        <v>88.326027802343489</v>
      </c>
      <c r="E11" s="4">
        <v>29.20457082297866</v>
      </c>
      <c r="F11" s="4">
        <v>7264.1440407671707</v>
      </c>
      <c r="G11" s="4">
        <v>3834.4016633156693</v>
      </c>
    </row>
    <row r="12" spans="1:8">
      <c r="B12" s="3">
        <v>10</v>
      </c>
      <c r="C12" s="4">
        <v>0.74332576931609107</v>
      </c>
      <c r="D12" s="4">
        <v>85.549273987090814</v>
      </c>
      <c r="E12" s="4">
        <v>41.221821802305911</v>
      </c>
      <c r="F12" s="4">
        <v>6468.8931738347246</v>
      </c>
      <c r="G12" s="4">
        <v>5788.7553464568946</v>
      </c>
    </row>
    <row r="14" spans="1:8">
      <c r="A14" s="3" t="s">
        <v>7</v>
      </c>
    </row>
    <row r="15" spans="1:8">
      <c r="B15" s="3" t="s">
        <v>0</v>
      </c>
      <c r="C15" s="3" t="s">
        <v>1</v>
      </c>
      <c r="D15" s="3" t="s">
        <v>2</v>
      </c>
      <c r="E15" s="3" t="s">
        <v>3</v>
      </c>
      <c r="F15" s="3" t="s">
        <v>4</v>
      </c>
      <c r="G15" s="3" t="s">
        <v>5</v>
      </c>
    </row>
    <row r="16" spans="1:8">
      <c r="B16" s="1" t="s">
        <v>12</v>
      </c>
      <c r="C16" s="2" t="s">
        <v>8</v>
      </c>
      <c r="D16" s="2" t="s">
        <v>8</v>
      </c>
      <c r="E16" s="2" t="s">
        <v>9</v>
      </c>
      <c r="F16" s="2" t="s">
        <v>8</v>
      </c>
      <c r="G16" s="2" t="s">
        <v>9</v>
      </c>
      <c r="H16" s="2" t="s">
        <v>13</v>
      </c>
    </row>
    <row r="17" spans="1:8">
      <c r="B17" s="3">
        <v>1</v>
      </c>
      <c r="C17" s="4">
        <v>0.56324101824464323</v>
      </c>
      <c r="D17" s="4">
        <v>87.336997905437372</v>
      </c>
      <c r="E17" s="4">
        <v>49.508742312671963</v>
      </c>
      <c r="F17" s="4">
        <v>5293.0820022211792</v>
      </c>
      <c r="G17" s="4">
        <v>5923.6438946908547</v>
      </c>
    </row>
    <row r="18" spans="1:8">
      <c r="B18" s="3">
        <v>2</v>
      </c>
      <c r="C18" s="4">
        <v>0.39179363771890924</v>
      </c>
      <c r="D18" s="4">
        <v>82.923796685842703</v>
      </c>
      <c r="E18" s="4">
        <v>43.432049077671046</v>
      </c>
      <c r="F18" s="4">
        <v>7829.2113313587433</v>
      </c>
      <c r="G18" s="4">
        <v>4182.9380691903352</v>
      </c>
    </row>
    <row r="19" spans="1:8">
      <c r="B19" s="3">
        <v>3</v>
      </c>
      <c r="C19" s="4">
        <v>0.87566914170778787</v>
      </c>
      <c r="D19" s="4">
        <v>80.250898958300652</v>
      </c>
      <c r="E19" s="4">
        <v>32.448848417237798</v>
      </c>
      <c r="F19" s="4">
        <v>5554.846146402343</v>
      </c>
      <c r="G19" s="4">
        <v>4640.1288819686179</v>
      </c>
    </row>
    <row r="20" spans="1:8">
      <c r="B20" s="3">
        <v>4</v>
      </c>
      <c r="C20" s="4">
        <v>0.37126468278992208</v>
      </c>
      <c r="D20" s="4">
        <v>86.858792159174939</v>
      </c>
      <c r="E20" s="4">
        <v>27.795348515638779</v>
      </c>
      <c r="F20" s="4">
        <v>6299.1825841829104</v>
      </c>
      <c r="G20" s="4">
        <v>6146.1192465602044</v>
      </c>
    </row>
    <row r="21" spans="1:8">
      <c r="B21" s="3">
        <v>5</v>
      </c>
      <c r="C21" s="4">
        <v>0.84552365022037346</v>
      </c>
      <c r="D21" s="4">
        <v>85.719819253180091</v>
      </c>
      <c r="E21" s="4">
        <v>26.422502340945648</v>
      </c>
      <c r="F21" s="4">
        <v>6361.6923621677288</v>
      </c>
      <c r="G21" s="4">
        <v>5326.1769373557418</v>
      </c>
    </row>
    <row r="22" spans="1:8">
      <c r="B22" s="3">
        <v>6</v>
      </c>
      <c r="C22" s="4">
        <v>0.7159892538171212</v>
      </c>
      <c r="D22" s="4">
        <v>83.002188197803775</v>
      </c>
      <c r="E22" s="4">
        <v>22.996844273524751</v>
      </c>
      <c r="F22" s="4">
        <v>6963.5309530252271</v>
      </c>
      <c r="G22" s="4">
        <v>4055.7861379607516</v>
      </c>
    </row>
    <row r="23" spans="1:8">
      <c r="B23" s="3">
        <v>7</v>
      </c>
      <c r="C23" s="4">
        <v>0.6313889043551818</v>
      </c>
      <c r="D23" s="4">
        <v>87.777040487982816</v>
      </c>
      <c r="E23" s="4">
        <v>47.961705130507099</v>
      </c>
      <c r="F23" s="4">
        <v>6064.7274949889288</v>
      </c>
      <c r="G23" s="4">
        <v>6097.6207063522288</v>
      </c>
    </row>
    <row r="24" spans="1:8">
      <c r="B24" s="3">
        <v>8</v>
      </c>
      <c r="C24" s="4">
        <v>0.75331549754055005</v>
      </c>
      <c r="D24" s="4">
        <v>88.719481527209041</v>
      </c>
      <c r="E24" s="4">
        <v>22.378128432844825</v>
      </c>
      <c r="F24" s="4">
        <v>7875.008278933823</v>
      </c>
      <c r="G24" s="4">
        <v>5711.2116619065455</v>
      </c>
    </row>
    <row r="25" spans="1:8">
      <c r="B25" s="3">
        <v>9</v>
      </c>
      <c r="C25" s="4">
        <v>0.97356716402506793</v>
      </c>
      <c r="D25" s="4">
        <v>88.326027802343489</v>
      </c>
      <c r="E25" s="4">
        <v>29.20457082297866</v>
      </c>
      <c r="F25" s="4">
        <v>7264.1440407671707</v>
      </c>
      <c r="G25" s="4">
        <v>3834.4016633156693</v>
      </c>
    </row>
    <row r="26" spans="1:8">
      <c r="B26" s="3">
        <v>10</v>
      </c>
      <c r="C26" s="4">
        <v>0.74332576931609107</v>
      </c>
      <c r="D26" s="4">
        <v>85.549273987090814</v>
      </c>
      <c r="E26" s="4">
        <v>41.221821802305911</v>
      </c>
      <c r="F26" s="4">
        <v>6468.8931738347246</v>
      </c>
      <c r="G26" s="4">
        <v>5788.7553464568946</v>
      </c>
    </row>
    <row r="27" spans="1:8">
      <c r="B27" s="1" t="s">
        <v>10</v>
      </c>
      <c r="C27" s="5">
        <f>MAX(C17:C26)</f>
        <v>0.97356716402506793</v>
      </c>
      <c r="D27" s="5">
        <f t="shared" ref="D27:G27" si="0">MAX(D17:D26)</f>
        <v>88.719481527209041</v>
      </c>
      <c r="E27" s="5">
        <f t="shared" si="0"/>
        <v>49.508742312671963</v>
      </c>
      <c r="F27" s="5">
        <f t="shared" si="0"/>
        <v>7875.008278933823</v>
      </c>
      <c r="G27" s="5">
        <f t="shared" si="0"/>
        <v>6146.1192465602044</v>
      </c>
      <c r="H27" s="2" t="s">
        <v>13</v>
      </c>
    </row>
    <row r="28" spans="1:8">
      <c r="B28" s="2" t="s">
        <v>11</v>
      </c>
      <c r="C28" s="5">
        <f>MIN(C17:C26)</f>
        <v>0.37126468278992208</v>
      </c>
      <c r="D28" s="5">
        <f t="shared" ref="D28:G28" si="1">MIN(D17:D26)</f>
        <v>80.250898958300652</v>
      </c>
      <c r="E28" s="5">
        <f t="shared" si="1"/>
        <v>22.378128432844825</v>
      </c>
      <c r="F28" s="5">
        <f t="shared" si="1"/>
        <v>5293.0820022211792</v>
      </c>
      <c r="G28" s="5">
        <f t="shared" si="1"/>
        <v>3834.4016633156693</v>
      </c>
      <c r="H28" s="2" t="s">
        <v>13</v>
      </c>
    </row>
    <row r="29" spans="1:8">
      <c r="B29" s="2" t="s">
        <v>15</v>
      </c>
      <c r="C29" s="6">
        <f>C27-C28</f>
        <v>0.60230248123514585</v>
      </c>
      <c r="D29" s="6">
        <f t="shared" ref="D29:G29" si="2">D27-D28</f>
        <v>8.4685825689083885</v>
      </c>
      <c r="E29" s="6">
        <f t="shared" si="2"/>
        <v>27.130613879827138</v>
      </c>
      <c r="F29" s="6">
        <f t="shared" si="2"/>
        <v>2581.9262767126438</v>
      </c>
      <c r="G29" s="6">
        <f t="shared" si="2"/>
        <v>2311.717583244535</v>
      </c>
      <c r="H29" s="2" t="s">
        <v>13</v>
      </c>
    </row>
    <row r="31" spans="1:8">
      <c r="A31" s="3" t="s">
        <v>14</v>
      </c>
    </row>
    <row r="32" spans="1:8">
      <c r="B32" s="3" t="s">
        <v>0</v>
      </c>
      <c r="C32" s="3" t="s">
        <v>1</v>
      </c>
      <c r="D32" s="3" t="s">
        <v>2</v>
      </c>
      <c r="E32" s="3" t="s">
        <v>3</v>
      </c>
      <c r="F32" s="3" t="s">
        <v>4</v>
      </c>
      <c r="G32" s="3" t="s">
        <v>5</v>
      </c>
    </row>
    <row r="33" spans="1:7">
      <c r="B33" s="3">
        <v>1</v>
      </c>
      <c r="C33" s="4">
        <f t="shared" ref="C33:G42" si="3">IF(HL="H",(C17-Min)/Ran,(Max-C17)/Ran)</f>
        <v>0.31873741423251978</v>
      </c>
      <c r="D33" s="4">
        <f t="shared" si="3"/>
        <v>0.83675147398959904</v>
      </c>
      <c r="E33" s="4">
        <f t="shared" si="3"/>
        <v>0</v>
      </c>
      <c r="F33" s="4">
        <f t="shared" si="3"/>
        <v>0</v>
      </c>
      <c r="G33" s="4">
        <f t="shared" si="3"/>
        <v>9.6238118999424527E-2</v>
      </c>
    </row>
    <row r="34" spans="1:7">
      <c r="B34" s="3">
        <v>2</v>
      </c>
      <c r="C34" s="4">
        <f t="shared" si="3"/>
        <v>3.4084128106011261E-2</v>
      </c>
      <c r="D34" s="4">
        <f t="shared" si="3"/>
        <v>0.31562515991227924</v>
      </c>
      <c r="E34" s="4">
        <f t="shared" si="3"/>
        <v>0.22397920157343798</v>
      </c>
      <c r="F34" s="4">
        <f t="shared" si="3"/>
        <v>0.98226248828708262</v>
      </c>
      <c r="G34" s="4">
        <f t="shared" si="3"/>
        <v>0.84923054251917351</v>
      </c>
    </row>
    <row r="35" spans="1:7">
      <c r="B35" s="3">
        <v>3</v>
      </c>
      <c r="C35" s="4">
        <f t="shared" si="3"/>
        <v>0.83746037021710429</v>
      </c>
      <c r="D35" s="4">
        <f t="shared" si="3"/>
        <v>0</v>
      </c>
      <c r="E35" s="4">
        <f t="shared" si="3"/>
        <v>0.62880604069629931</v>
      </c>
      <c r="F35" s="4">
        <f t="shared" si="3"/>
        <v>0.10138327594482936</v>
      </c>
      <c r="G35" s="4">
        <f t="shared" si="3"/>
        <v>0.65145949293594219</v>
      </c>
    </row>
    <row r="36" spans="1:7">
      <c r="B36" s="3">
        <v>4</v>
      </c>
      <c r="C36" s="4">
        <f t="shared" si="3"/>
        <v>0</v>
      </c>
      <c r="D36" s="4">
        <f t="shared" si="3"/>
        <v>0.78028325839728485</v>
      </c>
      <c r="E36" s="4">
        <f t="shared" si="3"/>
        <v>0.80032814197315649</v>
      </c>
      <c r="F36" s="4">
        <f t="shared" si="3"/>
        <v>0.38967053050124928</v>
      </c>
      <c r="G36" s="4">
        <f t="shared" si="3"/>
        <v>0</v>
      </c>
    </row>
    <row r="37" spans="1:7">
      <c r="B37" s="3">
        <v>5</v>
      </c>
      <c r="C37" s="4">
        <f t="shared" si="3"/>
        <v>0.78740995132194247</v>
      </c>
      <c r="D37" s="4">
        <f t="shared" si="3"/>
        <v>0.64578933373786418</v>
      </c>
      <c r="E37" s="4">
        <f t="shared" si="3"/>
        <v>0.85092950988816363</v>
      </c>
      <c r="F37" s="4">
        <f t="shared" si="3"/>
        <v>0.41388105058798347</v>
      </c>
      <c r="G37" s="4">
        <f t="shared" si="3"/>
        <v>0.35468965376543082</v>
      </c>
    </row>
    <row r="38" spans="1:7">
      <c r="B38" s="3">
        <v>6</v>
      </c>
      <c r="C38" s="4">
        <f t="shared" si="3"/>
        <v>0.57234459722010456</v>
      </c>
      <c r="D38" s="4">
        <f t="shared" si="3"/>
        <v>0.32488190522038779</v>
      </c>
      <c r="E38" s="4">
        <f t="shared" si="3"/>
        <v>0.97719491923697421</v>
      </c>
      <c r="F38" s="4">
        <f t="shared" si="3"/>
        <v>0.64697778781309523</v>
      </c>
      <c r="G38" s="4">
        <f t="shared" si="3"/>
        <v>0.9042337713526557</v>
      </c>
    </row>
    <row r="39" spans="1:7">
      <c r="B39" s="3">
        <v>7</v>
      </c>
      <c r="C39" s="4">
        <f t="shared" si="3"/>
        <v>0.43188303164851849</v>
      </c>
      <c r="D39" s="4">
        <f t="shared" si="3"/>
        <v>0.88871324905229021</v>
      </c>
      <c r="E39" s="4">
        <f t="shared" si="3"/>
        <v>5.702182740933693E-2</v>
      </c>
      <c r="F39" s="4">
        <f t="shared" si="3"/>
        <v>0.29886426259630577</v>
      </c>
      <c r="G39" s="4">
        <f t="shared" si="3"/>
        <v>2.097943994521469E-2</v>
      </c>
    </row>
    <row r="40" spans="1:7">
      <c r="B40" s="3">
        <v>8</v>
      </c>
      <c r="C40" s="4">
        <f t="shared" si="3"/>
        <v>0.63431718555625694</v>
      </c>
      <c r="D40" s="4">
        <f t="shared" si="3"/>
        <v>1</v>
      </c>
      <c r="E40" s="4">
        <f t="shared" si="3"/>
        <v>1</v>
      </c>
      <c r="F40" s="4">
        <f t="shared" si="3"/>
        <v>1</v>
      </c>
      <c r="G40" s="4">
        <f t="shared" si="3"/>
        <v>0.18813179767541444</v>
      </c>
    </row>
    <row r="41" spans="1:7">
      <c r="B41" s="3">
        <v>9</v>
      </c>
      <c r="C41" s="4">
        <f t="shared" si="3"/>
        <v>1</v>
      </c>
      <c r="D41" s="4">
        <f t="shared" si="3"/>
        <v>0.95353960102956536</v>
      </c>
      <c r="E41" s="4">
        <f t="shared" si="3"/>
        <v>0.74838599596857591</v>
      </c>
      <c r="F41" s="4">
        <f t="shared" si="3"/>
        <v>0.76340755982218989</v>
      </c>
      <c r="G41" s="4">
        <f t="shared" si="3"/>
        <v>1</v>
      </c>
    </row>
    <row r="42" spans="1:7">
      <c r="B42" s="3">
        <v>10</v>
      </c>
      <c r="C42" s="4">
        <f t="shared" si="3"/>
        <v>0.61773128638484232</v>
      </c>
      <c r="D42" s="4">
        <f t="shared" si="3"/>
        <v>0.62565074918707786</v>
      </c>
      <c r="E42" s="4">
        <f t="shared" si="3"/>
        <v>0.3054453742577406</v>
      </c>
      <c r="F42" s="4">
        <f t="shared" si="3"/>
        <v>0.45540075339045305</v>
      </c>
      <c r="G42" s="4">
        <f t="shared" si="3"/>
        <v>0.15458804427214828</v>
      </c>
    </row>
    <row r="43" spans="1:7">
      <c r="A43" s="3" t="s">
        <v>16</v>
      </c>
    </row>
    <row r="44" spans="1:7">
      <c r="B44" s="3" t="s">
        <v>0</v>
      </c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</row>
    <row r="45" spans="1:7">
      <c r="B45" s="3">
        <v>1</v>
      </c>
      <c r="C45" s="4">
        <f>C33+0.0001</f>
        <v>0.31883741423251977</v>
      </c>
      <c r="D45" s="4">
        <f t="shared" ref="D45:G45" si="4">D33+0.0001</f>
        <v>0.83685147398959903</v>
      </c>
      <c r="E45" s="4">
        <f t="shared" si="4"/>
        <v>1E-4</v>
      </c>
      <c r="F45" s="4">
        <f t="shared" si="4"/>
        <v>1E-4</v>
      </c>
      <c r="G45" s="4">
        <f t="shared" si="4"/>
        <v>9.633811899942453E-2</v>
      </c>
    </row>
    <row r="46" spans="1:7">
      <c r="B46" s="3">
        <v>2</v>
      </c>
      <c r="C46" s="4">
        <f t="shared" ref="C46:G46" si="5">C34+0.0001</f>
        <v>3.4184128106011263E-2</v>
      </c>
      <c r="D46" s="4">
        <f t="shared" si="5"/>
        <v>0.31572515991227923</v>
      </c>
      <c r="E46" s="4">
        <f t="shared" si="5"/>
        <v>0.22407920157343797</v>
      </c>
      <c r="F46" s="4">
        <f t="shared" si="5"/>
        <v>0.98236248828708261</v>
      </c>
      <c r="G46" s="4">
        <f t="shared" si="5"/>
        <v>0.8493305425191735</v>
      </c>
    </row>
    <row r="47" spans="1:7">
      <c r="B47" s="3">
        <v>3</v>
      </c>
      <c r="C47" s="4">
        <f t="shared" ref="C47:G47" si="6">C35+0.0001</f>
        <v>0.83756037021710428</v>
      </c>
      <c r="D47" s="4">
        <f t="shared" si="6"/>
        <v>1E-4</v>
      </c>
      <c r="E47" s="4">
        <f t="shared" si="6"/>
        <v>0.6289060406962993</v>
      </c>
      <c r="F47" s="4">
        <f t="shared" si="6"/>
        <v>0.10148327594482937</v>
      </c>
      <c r="G47" s="4">
        <f t="shared" si="6"/>
        <v>0.65155949293594217</v>
      </c>
    </row>
    <row r="48" spans="1:7">
      <c r="B48" s="3">
        <v>4</v>
      </c>
      <c r="C48" s="4">
        <f t="shared" ref="C48:G48" si="7">C36+0.0001</f>
        <v>1E-4</v>
      </c>
      <c r="D48" s="4">
        <f t="shared" si="7"/>
        <v>0.78038325839728484</v>
      </c>
      <c r="E48" s="4">
        <f t="shared" si="7"/>
        <v>0.80042814197315648</v>
      </c>
      <c r="F48" s="4">
        <f t="shared" si="7"/>
        <v>0.38977053050124927</v>
      </c>
      <c r="G48" s="4">
        <f t="shared" si="7"/>
        <v>1E-4</v>
      </c>
    </row>
    <row r="49" spans="1:7">
      <c r="B49" s="3">
        <v>5</v>
      </c>
      <c r="C49" s="4">
        <f t="shared" ref="C49:G49" si="8">C37+0.0001</f>
        <v>0.78750995132194246</v>
      </c>
      <c r="D49" s="4">
        <f t="shared" si="8"/>
        <v>0.64588933373786417</v>
      </c>
      <c r="E49" s="4">
        <f t="shared" si="8"/>
        <v>0.85102950988816362</v>
      </c>
      <c r="F49" s="4">
        <f t="shared" si="8"/>
        <v>0.41398105058798346</v>
      </c>
      <c r="G49" s="4">
        <f t="shared" si="8"/>
        <v>0.35478965376543081</v>
      </c>
    </row>
    <row r="50" spans="1:7">
      <c r="B50" s="3">
        <v>6</v>
      </c>
      <c r="C50" s="4">
        <f t="shared" ref="C50:G50" si="9">C38+0.0001</f>
        <v>0.57244459722010455</v>
      </c>
      <c r="D50" s="4">
        <f t="shared" si="9"/>
        <v>0.32498190522038778</v>
      </c>
      <c r="E50" s="4">
        <f t="shared" si="9"/>
        <v>0.9772949192369742</v>
      </c>
      <c r="F50" s="4">
        <f t="shared" si="9"/>
        <v>0.64707778781309522</v>
      </c>
      <c r="G50" s="4">
        <f t="shared" si="9"/>
        <v>0.90433377135265569</v>
      </c>
    </row>
    <row r="51" spans="1:7">
      <c r="B51" s="3">
        <v>7</v>
      </c>
      <c r="C51" s="4">
        <f t="shared" ref="C51:G51" si="10">C39+0.0001</f>
        <v>0.43198303164851848</v>
      </c>
      <c r="D51" s="4">
        <f t="shared" si="10"/>
        <v>0.8888132490522902</v>
      </c>
      <c r="E51" s="4">
        <f t="shared" si="10"/>
        <v>5.7121827409336932E-2</v>
      </c>
      <c r="F51" s="4">
        <f t="shared" si="10"/>
        <v>0.29896426259630576</v>
      </c>
      <c r="G51" s="4">
        <f t="shared" si="10"/>
        <v>2.107943994521469E-2</v>
      </c>
    </row>
    <row r="52" spans="1:7">
      <c r="B52" s="3">
        <v>8</v>
      </c>
      <c r="C52" s="4">
        <f t="shared" ref="C52:G52" si="11">C40+0.0001</f>
        <v>0.63441718555625692</v>
      </c>
      <c r="D52" s="4">
        <f t="shared" si="11"/>
        <v>1.0001</v>
      </c>
      <c r="E52" s="4">
        <f t="shared" si="11"/>
        <v>1.0001</v>
      </c>
      <c r="F52" s="4">
        <f t="shared" si="11"/>
        <v>1.0001</v>
      </c>
      <c r="G52" s="4">
        <f t="shared" si="11"/>
        <v>0.18823179767541443</v>
      </c>
    </row>
    <row r="53" spans="1:7">
      <c r="B53" s="3">
        <v>9</v>
      </c>
      <c r="C53" s="4">
        <f t="shared" ref="C53:G53" si="12">C41+0.0001</f>
        <v>1.0001</v>
      </c>
      <c r="D53" s="4">
        <f t="shared" si="12"/>
        <v>0.95363960102956535</v>
      </c>
      <c r="E53" s="4">
        <f t="shared" si="12"/>
        <v>0.7484859959685759</v>
      </c>
      <c r="F53" s="4">
        <f t="shared" si="12"/>
        <v>0.76350755982218987</v>
      </c>
      <c r="G53" s="4">
        <f t="shared" si="12"/>
        <v>1.0001</v>
      </c>
    </row>
    <row r="54" spans="1:7">
      <c r="B54" s="3">
        <v>10</v>
      </c>
      <c r="C54" s="4">
        <f t="shared" ref="C54:G54" si="13">C42+0.0001</f>
        <v>0.6178312863848423</v>
      </c>
      <c r="D54" s="4">
        <f t="shared" si="13"/>
        <v>0.62575074918707785</v>
      </c>
      <c r="E54" s="4">
        <f t="shared" si="13"/>
        <v>0.30554537425774059</v>
      </c>
      <c r="F54" s="4">
        <f t="shared" si="13"/>
        <v>0.45550075339045304</v>
      </c>
      <c r="G54" s="4">
        <f t="shared" si="13"/>
        <v>0.15468804427214827</v>
      </c>
    </row>
    <row r="56" spans="1:7">
      <c r="A56" s="3" t="s">
        <v>17</v>
      </c>
    </row>
    <row r="57" spans="1:7">
      <c r="B57" s="3" t="s">
        <v>0</v>
      </c>
      <c r="C57" s="3" t="s">
        <v>1</v>
      </c>
      <c r="D57" s="3" t="s">
        <v>2</v>
      </c>
      <c r="E57" s="3" t="s">
        <v>3</v>
      </c>
      <c r="F57" s="3" t="s">
        <v>4</v>
      </c>
      <c r="G57" s="3" t="s">
        <v>5</v>
      </c>
    </row>
    <row r="58" spans="1:7">
      <c r="B58" s="3">
        <v>1</v>
      </c>
      <c r="C58" s="4">
        <f>C45/SUM(C$45:C$54)</f>
        <v>6.0905322894667394E-2</v>
      </c>
      <c r="D58" s="4">
        <f t="shared" ref="D58:G58" si="14">D45/SUM(D$45:D$54)</f>
        <v>0.1313277852086398</v>
      </c>
      <c r="E58" s="4">
        <f t="shared" si="14"/>
        <v>1.7879201286598574E-5</v>
      </c>
      <c r="F58" s="4">
        <f t="shared" si="14"/>
        <v>1.9790820099922459E-5</v>
      </c>
      <c r="G58" s="4">
        <f t="shared" si="14"/>
        <v>2.2825958544656726E-2</v>
      </c>
    </row>
    <row r="59" spans="1:7">
      <c r="B59" s="3">
        <v>2</v>
      </c>
      <c r="C59" s="4">
        <f t="shared" ref="C59:G59" si="15">C46/SUM(C$45:C$54)</f>
        <v>6.5299593687300015E-3</v>
      </c>
      <c r="D59" s="4">
        <f t="shared" si="15"/>
        <v>4.9547007174702784E-2</v>
      </c>
      <c r="E59" s="4">
        <f t="shared" si="15"/>
        <v>4.0063571490717931E-2</v>
      </c>
      <c r="F59" s="4">
        <f t="shared" si="15"/>
        <v>0.19441759278601836</v>
      </c>
      <c r="G59" s="4">
        <f t="shared" si="15"/>
        <v>0.2012368930970021</v>
      </c>
    </row>
    <row r="60" spans="1:7">
      <c r="B60" s="3">
        <v>3</v>
      </c>
      <c r="C60" s="4">
        <f t="shared" ref="C60:G60" si="16">C47/SUM(C$45:C$54)</f>
        <v>0.15999340891231875</v>
      </c>
      <c r="D60" s="4">
        <f t="shared" si="16"/>
        <v>1.5693081662693233E-5</v>
      </c>
      <c r="E60" s="4">
        <f t="shared" si="16"/>
        <v>0.11244337691966888</v>
      </c>
      <c r="F60" s="4">
        <f t="shared" si="16"/>
        <v>2.0084372573749065E-2</v>
      </c>
      <c r="G60" s="4">
        <f t="shared" si="16"/>
        <v>0.15437783225996154</v>
      </c>
    </row>
    <row r="61" spans="1:7">
      <c r="B61" s="3">
        <v>4</v>
      </c>
      <c r="C61" s="4">
        <f t="shared" ref="C61:G61" si="17">C48/SUM(C$45:C$54)</f>
        <v>1.9102313648250432E-5</v>
      </c>
      <c r="D61" s="4">
        <f t="shared" si="17"/>
        <v>0.12246618202227226</v>
      </c>
      <c r="E61" s="4">
        <f t="shared" si="17"/>
        <v>0.14311015865796164</v>
      </c>
      <c r="F61" s="4">
        <f t="shared" si="17"/>
        <v>7.7138784494015636E-2</v>
      </c>
      <c r="G61" s="4">
        <f t="shared" si="17"/>
        <v>2.369358960059525E-5</v>
      </c>
    </row>
    <row r="62" spans="1:7">
      <c r="B62" s="3">
        <v>5</v>
      </c>
      <c r="C62" s="4">
        <f t="shared" ref="C62:G62" si="18">C49/SUM(C$45:C$54)</f>
        <v>0.15043262091270176</v>
      </c>
      <c r="D62" s="4">
        <f t="shared" si="18"/>
        <v>0.10135994059410826</v>
      </c>
      <c r="E62" s="4">
        <f t="shared" si="18"/>
        <v>0.15215727908125806</v>
      </c>
      <c r="F62" s="4">
        <f t="shared" si="18"/>
        <v>8.1930244969636787E-2</v>
      </c>
      <c r="G62" s="4">
        <f t="shared" si="18"/>
        <v>8.4062404508554012E-2</v>
      </c>
    </row>
    <row r="63" spans="1:7">
      <c r="B63" s="3">
        <v>6</v>
      </c>
      <c r="C63" s="4">
        <f t="shared" ref="C63:G63" si="19">C50/SUM(C$45:C$54)</f>
        <v>0.10935016242344825</v>
      </c>
      <c r="D63" s="4">
        <f t="shared" si="19"/>
        <v>5.0999675775211778E-2</v>
      </c>
      <c r="E63" s="4">
        <f t="shared" si="19"/>
        <v>0.17473252577407958</v>
      </c>
      <c r="F63" s="4">
        <f t="shared" si="19"/>
        <v>0.12806200089264766</v>
      </c>
      <c r="G63" s="4">
        <f t="shared" si="19"/>
        <v>0.21426913240388365</v>
      </c>
    </row>
    <row r="64" spans="1:7">
      <c r="B64" s="3">
        <v>7</v>
      </c>
      <c r="C64" s="4">
        <f t="shared" ref="C64:G64" si="20">C51/SUM(C$45:C$54)</f>
        <v>8.251875361272093E-2</v>
      </c>
      <c r="D64" s="4">
        <f t="shared" si="20"/>
        <v>0.13948218900261289</v>
      </c>
      <c r="E64" s="4">
        <f t="shared" si="20"/>
        <v>1.0212926501098785E-2</v>
      </c>
      <c r="F64" s="4">
        <f t="shared" si="20"/>
        <v>5.916747937349464E-2</v>
      </c>
      <c r="G64" s="4">
        <f t="shared" si="20"/>
        <v>4.9944759907231085E-3</v>
      </c>
    </row>
    <row r="65" spans="1:8">
      <c r="B65" s="3">
        <v>8</v>
      </c>
      <c r="C65" s="4">
        <f t="shared" ref="C65:G65" si="21">C52/SUM(C$45:C$54)</f>
        <v>0.12118836062335914</v>
      </c>
      <c r="D65" s="4">
        <f t="shared" si="21"/>
        <v>0.15694650970859503</v>
      </c>
      <c r="E65" s="4">
        <f t="shared" si="21"/>
        <v>0.17880989206727232</v>
      </c>
      <c r="F65" s="4">
        <f t="shared" si="21"/>
        <v>0.19792799181932449</v>
      </c>
      <c r="G65" s="4">
        <f t="shared" si="21"/>
        <v>4.4598869639035484E-2</v>
      </c>
    </row>
    <row r="66" spans="1:8">
      <c r="B66" s="3">
        <v>9</v>
      </c>
      <c r="C66" s="4">
        <f t="shared" ref="C66:G66" si="22">C53/SUM(C$45:C$54)</f>
        <v>0.19104223879615256</v>
      </c>
      <c r="D66" s="4">
        <f t="shared" si="22"/>
        <v>0.14965544135735165</v>
      </c>
      <c r="E66" s="4">
        <f t="shared" si="22"/>
        <v>0.13382331782122375</v>
      </c>
      <c r="F66" s="4">
        <f t="shared" si="22"/>
        <v>0.15110440761371743</v>
      </c>
      <c r="G66" s="4">
        <f t="shared" si="22"/>
        <v>0.23695958959555308</v>
      </c>
    </row>
    <row r="67" spans="1:8">
      <c r="B67" s="3">
        <v>10</v>
      </c>
      <c r="C67" s="4">
        <f t="shared" ref="C67:G67" si="23">C54/SUM(C$45:C$54)</f>
        <v>0.11802007014225295</v>
      </c>
      <c r="D67" s="4">
        <f t="shared" si="23"/>
        <v>9.8199576074842851E-2</v>
      </c>
      <c r="E67" s="4">
        <f t="shared" si="23"/>
        <v>5.4629072485432376E-2</v>
      </c>
      <c r="F67" s="4">
        <f t="shared" si="23"/>
        <v>9.0147334657296005E-2</v>
      </c>
      <c r="G67" s="4">
        <f t="shared" si="23"/>
        <v>3.6651150371029902E-2</v>
      </c>
    </row>
    <row r="69" spans="1:8">
      <c r="A69" s="3" t="s">
        <v>18</v>
      </c>
    </row>
    <row r="70" spans="1:8">
      <c r="C70" s="3">
        <f>-1/LN(10)</f>
        <v>-0.43429448190325176</v>
      </c>
      <c r="H70" s="1" t="s">
        <v>19</v>
      </c>
    </row>
    <row r="72" spans="1:8">
      <c r="A72" s="3" t="s">
        <v>20</v>
      </c>
    </row>
    <row r="73" spans="1:8">
      <c r="A73" s="3" t="s">
        <v>21</v>
      </c>
      <c r="C73" s="3" t="s">
        <v>1</v>
      </c>
      <c r="D73" s="3" t="s">
        <v>2</v>
      </c>
      <c r="E73" s="3" t="s">
        <v>3</v>
      </c>
      <c r="F73" s="3" t="s">
        <v>4</v>
      </c>
      <c r="G73" s="3" t="s">
        <v>5</v>
      </c>
    </row>
    <row r="74" spans="1:8">
      <c r="C74" s="4" cm="1">
        <f t="array" ref="C74">$C$70*SUMPRODUCT(C58:C67,LN(C58:C67))</f>
        <v>0.89191899514704931</v>
      </c>
      <c r="D74" s="4" cm="1">
        <f t="array" ref="D74">$C$70*SUMPRODUCT(D58:D67,LN(D58:D67))</f>
        <v>0.92685846422247764</v>
      </c>
      <c r="E74" s="4" cm="1">
        <f t="array" ref="E74">$C$70*SUMPRODUCT(E58:E67,LN(E58:E67))</f>
        <v>0.88029008587236335</v>
      </c>
      <c r="F74" s="4" cm="1">
        <f t="array" ref="F74">$C$70*SUMPRODUCT(F58:F67,LN(F58:F67))</f>
        <v>0.89173989845090629</v>
      </c>
      <c r="G74" s="4" cm="1">
        <f t="array" ref="G74">$C$70*SUMPRODUCT(G58:G67,LN(G58:G67))</f>
        <v>0.80925773192438455</v>
      </c>
    </row>
    <row r="76" spans="1:8">
      <c r="A76" s="3" t="s">
        <v>22</v>
      </c>
    </row>
    <row r="77" spans="1:8">
      <c r="C77" s="3" t="s">
        <v>1</v>
      </c>
      <c r="D77" s="3" t="s">
        <v>2</v>
      </c>
      <c r="E77" s="3" t="s">
        <v>3</v>
      </c>
      <c r="F77" s="3" t="s">
        <v>4</v>
      </c>
      <c r="G77" s="3" t="s">
        <v>5</v>
      </c>
    </row>
    <row r="78" spans="1:8">
      <c r="C78" s="4">
        <f>1-C74</f>
        <v>0.10808100485295069</v>
      </c>
      <c r="D78" s="4">
        <f t="shared" ref="D78:G78" si="24">1-D74</f>
        <v>7.314153577752236E-2</v>
      </c>
      <c r="E78" s="4">
        <f t="shared" si="24"/>
        <v>0.11970991412763665</v>
      </c>
      <c r="F78" s="4">
        <f t="shared" si="24"/>
        <v>0.10826010154909371</v>
      </c>
      <c r="G78" s="4">
        <f t="shared" si="24"/>
        <v>0.19074226807561545</v>
      </c>
    </row>
    <row r="80" spans="1:8">
      <c r="A80" s="3" t="s">
        <v>23</v>
      </c>
    </row>
    <row r="81" spans="1:8">
      <c r="C81" s="1" t="s">
        <v>1</v>
      </c>
      <c r="D81" s="2" t="s">
        <v>2</v>
      </c>
      <c r="E81" s="2" t="s">
        <v>3</v>
      </c>
      <c r="F81" s="2" t="s">
        <v>4</v>
      </c>
      <c r="G81" s="2" t="s">
        <v>5</v>
      </c>
    </row>
    <row r="82" spans="1:8">
      <c r="C82" s="5">
        <f>C78/SUM($C78:$G78)</f>
        <v>0.18015457756455244</v>
      </c>
      <c r="D82" s="5">
        <f t="shared" ref="D82:G82" si="25">D78/SUM($C78:$G78)</f>
        <v>0.12191580285869635</v>
      </c>
      <c r="E82" s="5">
        <f t="shared" si="25"/>
        <v>0.19953819858813474</v>
      </c>
      <c r="F82" s="5">
        <f t="shared" si="25"/>
        <v>0.18045310448591806</v>
      </c>
      <c r="G82" s="5">
        <f t="shared" si="25"/>
        <v>0.31793831650269838</v>
      </c>
    </row>
    <row r="84" spans="1:8">
      <c r="A84" s="3" t="s">
        <v>24</v>
      </c>
    </row>
    <row r="85" spans="1:8">
      <c r="B85" s="7" t="s">
        <v>0</v>
      </c>
      <c r="C85" s="7" t="s">
        <v>1</v>
      </c>
      <c r="D85" s="7" t="s">
        <v>2</v>
      </c>
      <c r="E85" s="7" t="s">
        <v>3</v>
      </c>
      <c r="F85" s="7" t="s">
        <v>4</v>
      </c>
      <c r="G85" s="7" t="s">
        <v>5</v>
      </c>
      <c r="H85" s="7" t="s">
        <v>25</v>
      </c>
    </row>
    <row r="86" spans="1:8">
      <c r="B86" s="7">
        <v>1</v>
      </c>
      <c r="C86" s="8">
        <f>C$82*C33</f>
        <v>5.7422004215077364E-2</v>
      </c>
      <c r="D86" s="8">
        <f t="shared" ref="D86:G86" si="26">D$82*D33</f>
        <v>0.10201322774463954</v>
      </c>
      <c r="E86" s="8">
        <f t="shared" si="26"/>
        <v>0</v>
      </c>
      <c r="F86" s="8">
        <f t="shared" si="26"/>
        <v>0</v>
      </c>
      <c r="G86" s="8">
        <f t="shared" si="26"/>
        <v>3.0597785538063384E-2</v>
      </c>
      <c r="H86" s="9">
        <f>SUM(C86:G86)</f>
        <v>0.19003301749778029</v>
      </c>
    </row>
    <row r="87" spans="1:8">
      <c r="B87" s="7">
        <v>2</v>
      </c>
      <c r="C87" s="8">
        <f t="shared" ref="C87:G87" si="27">C$82*C34</f>
        <v>6.1404117005945478E-3</v>
      </c>
      <c r="D87" s="8">
        <f t="shared" si="27"/>
        <v>3.8479694773109946E-2</v>
      </c>
      <c r="E87" s="8">
        <f t="shared" si="27"/>
        <v>4.4692406403172527E-2</v>
      </c>
      <c r="F87" s="8">
        <f t="shared" si="27"/>
        <v>0.17725231543146677</v>
      </c>
      <c r="G87" s="8">
        <f t="shared" si="27"/>
        <v>0.27000292901121925</v>
      </c>
      <c r="H87" s="9">
        <f t="shared" ref="H87:H95" si="28">SUM(C87:G87)</f>
        <v>0.53656775731956308</v>
      </c>
    </row>
    <row r="88" spans="1:8">
      <c r="B88" s="7">
        <v>3</v>
      </c>
      <c r="C88" s="8">
        <f t="shared" ref="C88:G88" si="29">C$82*C35</f>
        <v>0.15087231922351613</v>
      </c>
      <c r="D88" s="8">
        <f t="shared" si="29"/>
        <v>0</v>
      </c>
      <c r="E88" s="8">
        <f t="shared" si="29"/>
        <v>0.12547082462187689</v>
      </c>
      <c r="F88" s="8">
        <f t="shared" si="29"/>
        <v>1.8294926887196954E-2</v>
      </c>
      <c r="G88" s="8">
        <f t="shared" si="29"/>
        <v>0.20712393445375499</v>
      </c>
      <c r="H88" s="9">
        <f t="shared" si="28"/>
        <v>0.50176200518634495</v>
      </c>
    </row>
    <row r="89" spans="1:8">
      <c r="B89" s="7">
        <v>4</v>
      </c>
      <c r="C89" s="8">
        <f t="shared" ref="C89:G89" si="30">C$82*C36</f>
        <v>0</v>
      </c>
      <c r="D89" s="8">
        <f t="shared" si="30"/>
        <v>9.5128859904704613E-2</v>
      </c>
      <c r="E89" s="8">
        <f t="shared" si="30"/>
        <v>0.1596960357287126</v>
      </c>
      <c r="F89" s="8">
        <f t="shared" si="30"/>
        <v>7.031725695562506E-2</v>
      </c>
      <c r="G89" s="8">
        <f t="shared" si="30"/>
        <v>0</v>
      </c>
      <c r="H89" s="9">
        <f t="shared" si="28"/>
        <v>0.32514215258904228</v>
      </c>
    </row>
    <row r="90" spans="1:8">
      <c r="B90" s="7">
        <v>5</v>
      </c>
      <c r="C90" s="8">
        <f t="shared" ref="C90:G90" si="31">C$82*C37</f>
        <v>0.14185550715052936</v>
      </c>
      <c r="D90" s="8">
        <f t="shared" si="31"/>
        <v>7.8731925100234315E-2</v>
      </c>
      <c r="E90" s="8">
        <f t="shared" si="31"/>
        <v>0.16979294152856855</v>
      </c>
      <c r="F90" s="8">
        <f t="shared" si="31"/>
        <v>7.4686120466494921E-2</v>
      </c>
      <c r="G90" s="8">
        <f t="shared" si="31"/>
        <v>0.11276943139910604</v>
      </c>
      <c r="H90" s="9">
        <f t="shared" si="28"/>
        <v>0.57783592564493313</v>
      </c>
    </row>
    <row r="91" spans="1:8">
      <c r="B91" s="7">
        <v>6</v>
      </c>
      <c r="C91" s="8">
        <f t="shared" ref="C91:G91" si="32">C$82*C38</f>
        <v>0.10311049913354185</v>
      </c>
      <c r="D91" s="8">
        <f t="shared" si="32"/>
        <v>3.960823830920647E-2</v>
      </c>
      <c r="E91" s="8">
        <f t="shared" si="32"/>
        <v>0.19498771385402364</v>
      </c>
      <c r="F91" s="8">
        <f t="shared" si="32"/>
        <v>0.11674915034430459</v>
      </c>
      <c r="G91" s="8">
        <f t="shared" si="32"/>
        <v>0.28749056298874925</v>
      </c>
      <c r="H91" s="9">
        <f t="shared" si="28"/>
        <v>0.74194616462982577</v>
      </c>
    </row>
    <row r="92" spans="1:8">
      <c r="B92" s="7">
        <v>7</v>
      </c>
      <c r="C92" s="8">
        <f t="shared" ref="C92:G92" si="33">C$82*C39</f>
        <v>7.7805705123937086E-2</v>
      </c>
      <c r="D92" s="8">
        <f t="shared" si="33"/>
        <v>0.10834818926937052</v>
      </c>
      <c r="E92" s="8">
        <f t="shared" si="33"/>
        <v>1.1378032721462617E-2</v>
      </c>
      <c r="F92" s="8">
        <f t="shared" si="33"/>
        <v>5.3930984005398017E-2</v>
      </c>
      <c r="G92" s="8">
        <f t="shared" si="33"/>
        <v>6.6701678173510213E-3</v>
      </c>
      <c r="H92" s="9">
        <f t="shared" si="28"/>
        <v>0.25813307893751924</v>
      </c>
    </row>
    <row r="93" spans="1:8">
      <c r="B93" s="7">
        <v>8</v>
      </c>
      <c r="C93" s="8">
        <f t="shared" ref="C93:G93" si="34">C$82*C40</f>
        <v>0.11427514460582329</v>
      </c>
      <c r="D93" s="8">
        <f t="shared" si="34"/>
        <v>0.12191580285869635</v>
      </c>
      <c r="E93" s="8">
        <f t="shared" si="34"/>
        <v>0.19953819858813474</v>
      </c>
      <c r="F93" s="8">
        <f t="shared" si="34"/>
        <v>0.18045310448591806</v>
      </c>
      <c r="G93" s="8">
        <f t="shared" si="34"/>
        <v>5.981430703354753E-2</v>
      </c>
      <c r="H93" s="9">
        <f t="shared" si="28"/>
        <v>0.67599655757211985</v>
      </c>
    </row>
    <row r="94" spans="1:8">
      <c r="B94" s="7">
        <v>9</v>
      </c>
      <c r="C94" s="8">
        <f t="shared" ref="C94:G94" si="35">C$82*C41</f>
        <v>0.18015457756455244</v>
      </c>
      <c r="D94" s="8">
        <f t="shared" si="35"/>
        <v>0.11625154601708046</v>
      </c>
      <c r="E94" s="8">
        <f t="shared" si="35"/>
        <v>0.1493315934841567</v>
      </c>
      <c r="F94" s="8">
        <f t="shared" si="35"/>
        <v>0.13775926415793338</v>
      </c>
      <c r="G94" s="8">
        <f t="shared" si="35"/>
        <v>0.31793831650269838</v>
      </c>
      <c r="H94" s="9">
        <f t="shared" si="28"/>
        <v>0.90143529772642128</v>
      </c>
    </row>
    <row r="95" spans="1:8">
      <c r="B95" s="7">
        <v>10</v>
      </c>
      <c r="C95" s="8">
        <f t="shared" ref="C95:G95" si="36">C$82*C42</f>
        <v>0.11128711894706883</v>
      </c>
      <c r="D95" s="8">
        <f t="shared" si="36"/>
        <v>7.6276713396287457E-2</v>
      </c>
      <c r="E95" s="8">
        <f t="shared" si="36"/>
        <v>6.0948019746468178E-2</v>
      </c>
      <c r="F95" s="8">
        <f t="shared" si="36"/>
        <v>8.2178479734533225E-2</v>
      </c>
      <c r="G95" s="8">
        <f t="shared" si="36"/>
        <v>4.9149462547331428E-2</v>
      </c>
      <c r="H95" s="9">
        <f t="shared" si="28"/>
        <v>0.37983979437168913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5</vt:i4>
      </vt:variant>
    </vt:vector>
  </HeadingPairs>
  <TitlesOfParts>
    <vt:vector size="6" baseType="lpstr">
      <vt:lpstr>Sheet1</vt:lpstr>
      <vt:lpstr>HL</vt:lpstr>
      <vt:lpstr>Max</vt:lpstr>
      <vt:lpstr>Min</vt:lpstr>
      <vt:lpstr>R_</vt:lpstr>
      <vt:lpstr>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2024-04-14T05:35:45Z</dcterms:created>
  <dcterms:modified xsi:type="dcterms:W3CDTF">2024-04-14T11:12:37Z</dcterms:modified>
</cp:coreProperties>
</file>