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教师/20**教学笔记/多元统计/评价指标权重/"/>
    </mc:Choice>
  </mc:AlternateContent>
  <xr:revisionPtr revIDLastSave="0" documentId="13_ncr:1_{FA4DF18D-1C2A-EE47-A056-BCD504054DE7}" xr6:coauthVersionLast="47" xr6:coauthVersionMax="47" xr10:uidLastSave="{00000000-0000-0000-0000-000000000000}"/>
  <bookViews>
    <workbookView xWindow="5400" yWindow="500" windowWidth="23120" windowHeight="15760" xr2:uid="{45816A3F-C50D-6943-8A51-1BD9161F1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P4" i="1"/>
  <c r="O5" i="1"/>
  <c r="O27" i="1" s="1"/>
  <c r="O6" i="1"/>
  <c r="O28" i="1" s="1"/>
  <c r="O7" i="1"/>
  <c r="O29" i="1" s="1"/>
  <c r="O8" i="1"/>
  <c r="O30" i="1" s="1"/>
  <c r="O9" i="1"/>
  <c r="O31" i="1" s="1"/>
  <c r="O10" i="1"/>
  <c r="O32" i="1" s="1"/>
  <c r="O11" i="1"/>
  <c r="O33" i="1" s="1"/>
  <c r="O12" i="1"/>
  <c r="O34" i="1" s="1"/>
  <c r="O13" i="1"/>
  <c r="O35" i="1" s="1"/>
  <c r="O14" i="1"/>
  <c r="O36" i="1" s="1"/>
  <c r="O15" i="1"/>
  <c r="O37" i="1" s="1"/>
  <c r="O16" i="1"/>
  <c r="O38" i="1" s="1"/>
  <c r="O17" i="1"/>
  <c r="O39" i="1" s="1"/>
  <c r="O18" i="1"/>
  <c r="O40" i="1" s="1"/>
  <c r="O19" i="1"/>
  <c r="O41" i="1" s="1"/>
  <c r="O20" i="1"/>
  <c r="O42" i="1" s="1"/>
  <c r="O21" i="1"/>
  <c r="O43" i="1" s="1"/>
  <c r="O22" i="1"/>
  <c r="O44" i="1" s="1"/>
  <c r="O23" i="1"/>
  <c r="O45" i="1" s="1"/>
  <c r="O4" i="1"/>
  <c r="O26" i="1" s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40" i="1" l="1"/>
  <c r="P36" i="1"/>
  <c r="P30" i="1"/>
  <c r="P44" i="1"/>
  <c r="P45" i="1"/>
  <c r="P41" i="1"/>
  <c r="P37" i="1"/>
  <c r="P33" i="1"/>
  <c r="P29" i="1"/>
  <c r="P32" i="1"/>
  <c r="P28" i="1"/>
  <c r="P43" i="1"/>
  <c r="P39" i="1"/>
  <c r="P35" i="1"/>
  <c r="P31" i="1"/>
  <c r="P27" i="1"/>
  <c r="P26" i="1"/>
  <c r="P42" i="1"/>
  <c r="P38" i="1"/>
  <c r="P34" i="1"/>
</calcChain>
</file>

<file path=xl/sharedStrings.xml><?xml version="1.0" encoding="utf-8"?>
<sst xmlns="http://schemas.openxmlformats.org/spreadsheetml/2006/main" count="79" uniqueCount="33">
  <si>
    <t>Total Variance Explained</t>
  </si>
  <si>
    <t>Component</t>
  </si>
  <si>
    <t>Initial Eigenvalues</t>
  </si>
  <si>
    <t>Extraction Sums of Squared Loadings</t>
  </si>
  <si>
    <t>Total</t>
  </si>
  <si>
    <t>% of Variance</t>
  </si>
  <si>
    <t>Cumulative %</t>
  </si>
  <si>
    <t>Extraction Method: Principal Component Analysis.</t>
  </si>
  <si>
    <r>
      <t>Component Matrix</t>
    </r>
    <r>
      <rPr>
        <vertAlign val="superscript"/>
        <sz val="11"/>
        <color theme="1"/>
        <rFont val="MingLiU"/>
        <family val="1"/>
        <charset val="136"/>
      </rPr>
      <t>a</t>
    </r>
  </si>
  <si>
    <t>积极1</t>
  </si>
  <si>
    <t>积极3</t>
  </si>
  <si>
    <t>积极5</t>
  </si>
  <si>
    <t>积极7</t>
  </si>
  <si>
    <t>积极9</t>
  </si>
  <si>
    <t>积极11</t>
  </si>
  <si>
    <t>积极13</t>
  </si>
  <si>
    <t>积极15</t>
  </si>
  <si>
    <t>积极17</t>
  </si>
  <si>
    <t>积极19</t>
  </si>
  <si>
    <t>消极2</t>
  </si>
  <si>
    <t>消极4</t>
  </si>
  <si>
    <t>消极6</t>
  </si>
  <si>
    <t>消极8</t>
  </si>
  <si>
    <t>消极10</t>
  </si>
  <si>
    <t>消极12</t>
  </si>
  <si>
    <t>消极14</t>
  </si>
  <si>
    <t>消极16</t>
  </si>
  <si>
    <t>消极18</t>
  </si>
  <si>
    <t>消极20</t>
  </si>
  <si>
    <t>a. 3 components extracted.</t>
  </si>
  <si>
    <t>1.计算成分得分</t>
    <phoneticPr fontId="5" type="noConversion"/>
  </si>
  <si>
    <t>2.计算得分系数</t>
    <phoneticPr fontId="5" type="noConversion"/>
  </si>
  <si>
    <t>3.权重（得分系数规一化）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</si>
</sst>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theme="1"/>
      <name val="MingLiU"/>
      <family val="1"/>
      <charset val="136"/>
    </font>
    <font>
      <sz val="9"/>
      <color theme="1"/>
      <name val="MingLiU"/>
      <family val="1"/>
      <charset val="136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vertAlign val="superscript"/>
      <sz val="11"/>
      <color theme="1"/>
      <name val="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0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4CBD-499A-464A-9479-B4FFD161ED8B}">
  <dimension ref="A1:Q45"/>
  <sheetViews>
    <sheetView tabSelected="1" workbookViewId="0">
      <selection activeCell="H2" sqref="H2"/>
    </sheetView>
  </sheetViews>
  <sheetFormatPr baseColWidth="10" defaultRowHeight="16"/>
  <sheetData>
    <row r="1" spans="1:17">
      <c r="A1" s="1" t="s">
        <v>8</v>
      </c>
      <c r="F1" s="1" t="s">
        <v>0</v>
      </c>
      <c r="N1" t="s">
        <v>30</v>
      </c>
    </row>
    <row r="2" spans="1:17">
      <c r="A2" s="3"/>
      <c r="B2" s="1" t="s">
        <v>1</v>
      </c>
      <c r="F2" s="2" t="s">
        <v>1</v>
      </c>
      <c r="G2" s="1" t="s">
        <v>2</v>
      </c>
      <c r="H2" s="1" t="s">
        <v>3</v>
      </c>
      <c r="O2" s="1" t="s">
        <v>1</v>
      </c>
    </row>
    <row r="3" spans="1:17">
      <c r="B3" s="1">
        <v>1</v>
      </c>
      <c r="C3" s="1">
        <v>2</v>
      </c>
      <c r="D3" s="1">
        <v>3</v>
      </c>
      <c r="G3" s="1" t="s">
        <v>4</v>
      </c>
      <c r="H3" s="1" t="s">
        <v>5</v>
      </c>
      <c r="I3" s="1" t="s">
        <v>6</v>
      </c>
      <c r="J3" s="1" t="s">
        <v>4</v>
      </c>
      <c r="K3" s="1" t="s">
        <v>5</v>
      </c>
      <c r="L3" s="1" t="s">
        <v>6</v>
      </c>
      <c r="O3" s="1">
        <v>1</v>
      </c>
      <c r="P3" s="1">
        <v>2</v>
      </c>
      <c r="Q3">
        <v>3</v>
      </c>
    </row>
    <row r="4" spans="1:17">
      <c r="A4" s="1" t="s">
        <v>9</v>
      </c>
      <c r="B4" s="1">
        <v>0.66700000000000004</v>
      </c>
      <c r="C4" s="1">
        <v>0.33200000000000002</v>
      </c>
      <c r="D4" s="1">
        <v>-7.3999999999999996E-2</v>
      </c>
      <c r="F4" s="1">
        <v>1</v>
      </c>
      <c r="G4" s="1">
        <v>8.3230000000000004</v>
      </c>
      <c r="H4" s="1">
        <v>41.613</v>
      </c>
      <c r="I4" s="1">
        <v>41.613</v>
      </c>
      <c r="J4" s="1">
        <v>8.3230000000000004</v>
      </c>
      <c r="K4" s="1">
        <v>41.613</v>
      </c>
      <c r="L4" s="1">
        <v>41.613</v>
      </c>
      <c r="N4" s="1" t="s">
        <v>9</v>
      </c>
      <c r="O4">
        <f>ABS(B4)/SQRT($G$4)</f>
        <v>0.23119896555234382</v>
      </c>
      <c r="P4">
        <f>C4/SQRT($G$5)</f>
        <v>0.1480167707409952</v>
      </c>
      <c r="Q4">
        <f>ABS(D4)/SQRT($G$6)</f>
        <v>7.270291799999698E-2</v>
      </c>
    </row>
    <row r="5" spans="1:17">
      <c r="A5" s="1" t="s">
        <v>10</v>
      </c>
      <c r="B5" s="1">
        <v>0.71299999999999997</v>
      </c>
      <c r="C5" s="1">
        <v>0.35</v>
      </c>
      <c r="D5" s="1">
        <v>0.307</v>
      </c>
      <c r="F5" s="1">
        <v>2</v>
      </c>
      <c r="G5" s="1">
        <v>5.0309999999999997</v>
      </c>
      <c r="H5" s="1">
        <v>25.157</v>
      </c>
      <c r="I5" s="1">
        <v>66.77</v>
      </c>
      <c r="J5" s="1">
        <v>5.0309999999999997</v>
      </c>
      <c r="K5" s="1">
        <v>25.157</v>
      </c>
      <c r="L5" s="1">
        <v>66.77</v>
      </c>
      <c r="N5" s="1" t="s">
        <v>10</v>
      </c>
      <c r="O5">
        <f t="shared" ref="O5:O23" si="0">ABS(B5)/SQRT($G$4)</f>
        <v>0.24714372179733304</v>
      </c>
      <c r="P5">
        <f t="shared" ref="P5:P23" si="1">C5/SQRT($G$5)</f>
        <v>0.15604177638357924</v>
      </c>
      <c r="Q5">
        <f t="shared" ref="Q5:Q23" si="2">ABS(D5)/SQRT($G$6)</f>
        <v>0.30161886251350101</v>
      </c>
    </row>
    <row r="6" spans="1:17">
      <c r="A6" s="1" t="s">
        <v>11</v>
      </c>
      <c r="B6" s="1">
        <v>0.64400000000000002</v>
      </c>
      <c r="C6" s="1">
        <v>0.32700000000000001</v>
      </c>
      <c r="D6" s="1">
        <v>0.38800000000000001</v>
      </c>
      <c r="F6" s="1">
        <v>3</v>
      </c>
      <c r="G6" s="1">
        <v>1.036</v>
      </c>
      <c r="H6" s="1">
        <v>5.1820000000000004</v>
      </c>
      <c r="I6" s="1">
        <v>71.951999999999998</v>
      </c>
      <c r="J6" s="1">
        <v>1.036</v>
      </c>
      <c r="K6" s="1">
        <v>5.1820000000000004</v>
      </c>
      <c r="L6" s="1">
        <v>71.951999999999998</v>
      </c>
      <c r="N6" s="1" t="s">
        <v>11</v>
      </c>
      <c r="O6">
        <f t="shared" si="0"/>
        <v>0.22322658742984922</v>
      </c>
      <c r="P6">
        <f t="shared" si="1"/>
        <v>0.14578760250694406</v>
      </c>
      <c r="Q6">
        <f t="shared" si="2"/>
        <v>0.38119908356755178</v>
      </c>
    </row>
    <row r="7" spans="1:17">
      <c r="A7" s="1" t="s">
        <v>12</v>
      </c>
      <c r="B7" s="1">
        <v>0.74</v>
      </c>
      <c r="C7" s="1">
        <v>0.41299999999999998</v>
      </c>
      <c r="D7" s="1">
        <v>-0.182</v>
      </c>
      <c r="F7" s="1">
        <v>4</v>
      </c>
      <c r="G7" s="1">
        <v>0.96199999999999997</v>
      </c>
      <c r="H7" s="1">
        <v>4.8099999999999996</v>
      </c>
      <c r="I7" s="1">
        <v>76.762</v>
      </c>
      <c r="J7" s="3"/>
      <c r="K7" s="3"/>
      <c r="L7" s="3"/>
      <c r="N7" s="1" t="s">
        <v>12</v>
      </c>
      <c r="O7">
        <f t="shared" si="0"/>
        <v>0.25650260046287021</v>
      </c>
      <c r="P7">
        <f t="shared" si="1"/>
        <v>0.18412929613262352</v>
      </c>
      <c r="Q7">
        <f t="shared" si="2"/>
        <v>0.178809879405398</v>
      </c>
    </row>
    <row r="8" spans="1:17">
      <c r="A8" s="1" t="s">
        <v>13</v>
      </c>
      <c r="B8" s="1">
        <v>0.78</v>
      </c>
      <c r="C8" s="1">
        <v>0.40600000000000003</v>
      </c>
      <c r="D8" s="1">
        <v>3.9E-2</v>
      </c>
      <c r="F8" s="1">
        <v>5</v>
      </c>
      <c r="G8" s="1">
        <v>0.60099999999999998</v>
      </c>
      <c r="H8" s="1">
        <v>3.0070000000000001</v>
      </c>
      <c r="I8" s="1">
        <v>79.769000000000005</v>
      </c>
      <c r="J8" s="3"/>
      <c r="K8" s="3"/>
      <c r="L8" s="3"/>
      <c r="N8" s="1" t="s">
        <v>13</v>
      </c>
      <c r="O8">
        <f t="shared" si="0"/>
        <v>0.27036760589329561</v>
      </c>
      <c r="P8">
        <f t="shared" si="1"/>
        <v>0.18100846060495196</v>
      </c>
      <c r="Q8">
        <f t="shared" si="2"/>
        <v>3.8316402729728145E-2</v>
      </c>
    </row>
    <row r="9" spans="1:17">
      <c r="A9" s="1" t="s">
        <v>14</v>
      </c>
      <c r="B9" s="1">
        <v>0.76700000000000002</v>
      </c>
      <c r="C9" s="1">
        <v>0.38800000000000001</v>
      </c>
      <c r="D9" s="1">
        <v>4.2999999999999997E-2</v>
      </c>
      <c r="F9" s="1">
        <v>6</v>
      </c>
      <c r="G9" s="1">
        <v>0.56799999999999995</v>
      </c>
      <c r="H9" s="1">
        <v>2.8410000000000002</v>
      </c>
      <c r="I9" s="1">
        <v>82.61</v>
      </c>
      <c r="J9" s="3"/>
      <c r="K9" s="3"/>
      <c r="L9" s="3"/>
      <c r="N9" s="1" t="s">
        <v>14</v>
      </c>
      <c r="O9">
        <f t="shared" si="0"/>
        <v>0.26586147912840735</v>
      </c>
      <c r="P9">
        <f t="shared" si="1"/>
        <v>0.17298345496236789</v>
      </c>
      <c r="Q9">
        <f t="shared" si="2"/>
        <v>4.2246290189187435E-2</v>
      </c>
    </row>
    <row r="10" spans="1:17">
      <c r="A10" s="1" t="s">
        <v>15</v>
      </c>
      <c r="B10" s="1">
        <v>0.74399999999999999</v>
      </c>
      <c r="C10" s="1">
        <v>0.42499999999999999</v>
      </c>
      <c r="D10" s="1">
        <v>-0.20699999999999999</v>
      </c>
      <c r="F10" s="1">
        <v>7</v>
      </c>
      <c r="G10" s="1">
        <v>0.48</v>
      </c>
      <c r="H10" s="1">
        <v>2.4</v>
      </c>
      <c r="I10" s="1">
        <v>85.01</v>
      </c>
      <c r="J10" s="3"/>
      <c r="K10" s="3"/>
      <c r="L10" s="3"/>
      <c r="N10" s="1" t="s">
        <v>15</v>
      </c>
      <c r="O10">
        <f t="shared" si="0"/>
        <v>0.25788910100591272</v>
      </c>
      <c r="P10">
        <f t="shared" si="1"/>
        <v>0.18947929989434625</v>
      </c>
      <c r="Q10">
        <f t="shared" si="2"/>
        <v>0.20337167602701858</v>
      </c>
    </row>
    <row r="11" spans="1:17">
      <c r="A11" s="1" t="s">
        <v>16</v>
      </c>
      <c r="B11" s="1">
        <v>0.60199999999999998</v>
      </c>
      <c r="C11" s="1">
        <v>0.44500000000000001</v>
      </c>
      <c r="D11" s="1">
        <v>-0.44</v>
      </c>
      <c r="F11" s="1">
        <v>8</v>
      </c>
      <c r="G11" s="1">
        <v>0.44900000000000001</v>
      </c>
      <c r="H11" s="1">
        <v>2.246</v>
      </c>
      <c r="I11" s="1">
        <v>87.256</v>
      </c>
      <c r="J11" s="3"/>
      <c r="K11" s="3"/>
      <c r="L11" s="3"/>
      <c r="N11" s="1" t="s">
        <v>16</v>
      </c>
      <c r="O11">
        <f t="shared" si="0"/>
        <v>0.2086683317279025</v>
      </c>
      <c r="P11">
        <f t="shared" si="1"/>
        <v>0.1983959728305508</v>
      </c>
      <c r="Q11">
        <f t="shared" si="2"/>
        <v>0.43228762054052261</v>
      </c>
    </row>
    <row r="12" spans="1:17">
      <c r="A12" s="1" t="s">
        <v>17</v>
      </c>
      <c r="B12" s="1">
        <v>0.72399999999999998</v>
      </c>
      <c r="C12" s="1">
        <v>0.35</v>
      </c>
      <c r="D12" s="1">
        <v>0.08</v>
      </c>
      <c r="F12" s="1">
        <v>9</v>
      </c>
      <c r="G12" s="1">
        <v>0.40100000000000002</v>
      </c>
      <c r="H12" s="1">
        <v>2.004</v>
      </c>
      <c r="I12" s="1">
        <v>89.26</v>
      </c>
      <c r="J12" s="3"/>
      <c r="K12" s="3"/>
      <c r="L12" s="3"/>
      <c r="N12" s="1" t="s">
        <v>17</v>
      </c>
      <c r="O12">
        <f t="shared" si="0"/>
        <v>0.25095659829070005</v>
      </c>
      <c r="P12">
        <f t="shared" si="1"/>
        <v>0.15604177638357924</v>
      </c>
      <c r="Q12">
        <f t="shared" si="2"/>
        <v>7.8597749189185939E-2</v>
      </c>
    </row>
    <row r="13" spans="1:17">
      <c r="A13" s="1" t="s">
        <v>18</v>
      </c>
      <c r="B13" s="1">
        <v>0.70099999999999996</v>
      </c>
      <c r="C13" s="1">
        <v>0.46400000000000002</v>
      </c>
      <c r="D13" s="1">
        <v>-0.114</v>
      </c>
      <c r="F13" s="1">
        <v>10</v>
      </c>
      <c r="G13" s="1">
        <v>0.38200000000000001</v>
      </c>
      <c r="H13" s="1">
        <v>1.9079999999999999</v>
      </c>
      <c r="I13" s="1">
        <v>91.168999999999997</v>
      </c>
      <c r="J13" s="3"/>
      <c r="K13" s="3"/>
      <c r="L13" s="3"/>
      <c r="N13" s="1" t="s">
        <v>18</v>
      </c>
      <c r="O13">
        <f t="shared" si="0"/>
        <v>0.24298422016820539</v>
      </c>
      <c r="P13">
        <f t="shared" si="1"/>
        <v>0.20686681211994509</v>
      </c>
      <c r="Q13">
        <f t="shared" si="2"/>
        <v>0.11200179259458996</v>
      </c>
    </row>
    <row r="14" spans="1:17">
      <c r="A14" s="1" t="s">
        <v>19</v>
      </c>
      <c r="B14" s="1">
        <v>0.52500000000000002</v>
      </c>
      <c r="C14" s="1">
        <v>0.43099999999999999</v>
      </c>
      <c r="D14" s="1">
        <v>0.30599999999999999</v>
      </c>
      <c r="F14" s="1">
        <v>11</v>
      </c>
      <c r="G14" s="1">
        <v>0.30299999999999999</v>
      </c>
      <c r="H14" s="1">
        <v>1.514</v>
      </c>
      <c r="I14" s="1">
        <v>92.683000000000007</v>
      </c>
      <c r="J14" s="3"/>
      <c r="K14" s="3"/>
      <c r="L14" s="3"/>
      <c r="N14" s="1" t="s">
        <v>19</v>
      </c>
      <c r="O14">
        <f t="shared" si="0"/>
        <v>0.18197819627433359</v>
      </c>
      <c r="P14">
        <f t="shared" si="1"/>
        <v>0.19215430177520762</v>
      </c>
      <c r="Q14">
        <f t="shared" si="2"/>
        <v>0.30063639064863618</v>
      </c>
    </row>
    <row r="15" spans="1:17">
      <c r="A15" s="1" t="s">
        <v>20</v>
      </c>
      <c r="B15" s="1">
        <v>-3.9E-2</v>
      </c>
      <c r="C15" s="1">
        <v>0.57799999999999996</v>
      </c>
      <c r="D15" s="1">
        <v>-0.17699999999999999</v>
      </c>
      <c r="F15" s="1">
        <v>12</v>
      </c>
      <c r="G15" s="1">
        <v>0.25800000000000001</v>
      </c>
      <c r="H15" s="1">
        <v>1.2909999999999999</v>
      </c>
      <c r="I15" s="1">
        <v>93.974000000000004</v>
      </c>
      <c r="J15" s="3"/>
      <c r="K15" s="3"/>
      <c r="L15" s="3"/>
      <c r="N15" s="1" t="s">
        <v>20</v>
      </c>
      <c r="O15">
        <f t="shared" si="0"/>
        <v>1.351838029466478E-2</v>
      </c>
      <c r="P15">
        <f t="shared" si="1"/>
        <v>0.25769184785631088</v>
      </c>
      <c r="Q15">
        <f t="shared" si="2"/>
        <v>0.17389752008107387</v>
      </c>
    </row>
    <row r="16" spans="1:17">
      <c r="A16" s="1" t="s">
        <v>21</v>
      </c>
      <c r="B16" s="1">
        <v>-0.57799999999999996</v>
      </c>
      <c r="C16" s="1">
        <v>0.621</v>
      </c>
      <c r="D16" s="1">
        <v>-0.17699999999999999</v>
      </c>
      <c r="F16" s="1">
        <v>13</v>
      </c>
      <c r="G16" s="1">
        <v>0.24199999999999999</v>
      </c>
      <c r="H16" s="1">
        <v>1.212</v>
      </c>
      <c r="I16" s="1">
        <v>95.186000000000007</v>
      </c>
      <c r="J16" s="3"/>
      <c r="K16" s="3"/>
      <c r="L16" s="3"/>
      <c r="N16" s="1" t="s">
        <v>21</v>
      </c>
      <c r="O16">
        <f t="shared" si="0"/>
        <v>0.20034932846964726</v>
      </c>
      <c r="P16">
        <f t="shared" si="1"/>
        <v>0.27686269466915064</v>
      </c>
      <c r="Q16">
        <f t="shared" si="2"/>
        <v>0.17389752008107387</v>
      </c>
    </row>
    <row r="17" spans="1:17">
      <c r="A17" s="1" t="s">
        <v>22</v>
      </c>
      <c r="B17" s="1">
        <v>-0.64600000000000002</v>
      </c>
      <c r="C17" s="1">
        <v>0.60899999999999999</v>
      </c>
      <c r="D17" s="1">
        <v>-0.16600000000000001</v>
      </c>
      <c r="F17" s="1">
        <v>14</v>
      </c>
      <c r="G17" s="1">
        <v>0.21099999999999999</v>
      </c>
      <c r="H17" s="1">
        <v>1.0569999999999999</v>
      </c>
      <c r="I17" s="1">
        <v>96.242999999999995</v>
      </c>
      <c r="J17" s="3"/>
      <c r="K17" s="3"/>
      <c r="L17" s="3"/>
      <c r="N17" s="1" t="s">
        <v>22</v>
      </c>
      <c r="O17">
        <f t="shared" si="0"/>
        <v>0.22391983770137047</v>
      </c>
      <c r="P17">
        <f t="shared" si="1"/>
        <v>0.27151269090742791</v>
      </c>
      <c r="Q17">
        <f t="shared" si="2"/>
        <v>0.16309032956756081</v>
      </c>
    </row>
    <row r="18" spans="1:17">
      <c r="A18" s="1" t="s">
        <v>23</v>
      </c>
      <c r="B18" s="1">
        <v>-0.61099999999999999</v>
      </c>
      <c r="C18" s="1">
        <v>0.63500000000000001</v>
      </c>
      <c r="D18" s="1">
        <v>-6.5000000000000002E-2</v>
      </c>
      <c r="F18" s="1">
        <v>15</v>
      </c>
      <c r="G18" s="1">
        <v>0.17799999999999999</v>
      </c>
      <c r="H18" s="1">
        <v>0.89</v>
      </c>
      <c r="I18" s="1">
        <v>97.132999999999996</v>
      </c>
      <c r="J18" s="3"/>
      <c r="K18" s="3"/>
      <c r="L18" s="3"/>
      <c r="N18" s="1" t="s">
        <v>23</v>
      </c>
      <c r="O18">
        <f t="shared" si="0"/>
        <v>0.21178795794974822</v>
      </c>
      <c r="P18">
        <f t="shared" si="1"/>
        <v>0.28310436572449382</v>
      </c>
      <c r="Q18">
        <f t="shared" si="2"/>
        <v>6.3860671216213569E-2</v>
      </c>
    </row>
    <row r="19" spans="1:17">
      <c r="A19" s="1" t="s">
        <v>24</v>
      </c>
      <c r="B19" s="1">
        <v>-0.63300000000000001</v>
      </c>
      <c r="C19" s="1">
        <v>0.629</v>
      </c>
      <c r="D19" s="1">
        <v>-0.184</v>
      </c>
      <c r="F19" s="1">
        <v>16</v>
      </c>
      <c r="G19" s="1">
        <v>0.156</v>
      </c>
      <c r="H19" s="1">
        <v>0.78200000000000003</v>
      </c>
      <c r="I19" s="1">
        <v>97.915000000000006</v>
      </c>
      <c r="J19" s="3"/>
      <c r="K19" s="3"/>
      <c r="L19" s="3"/>
      <c r="N19" s="1" t="s">
        <v>24</v>
      </c>
      <c r="O19">
        <f t="shared" si="0"/>
        <v>0.21941371093648221</v>
      </c>
      <c r="P19">
        <f t="shared" si="1"/>
        <v>0.28042936384363248</v>
      </c>
      <c r="Q19">
        <f t="shared" si="2"/>
        <v>0.18077482313512763</v>
      </c>
    </row>
    <row r="20" spans="1:17">
      <c r="A20" s="1" t="s">
        <v>25</v>
      </c>
      <c r="B20" s="1">
        <v>-0.42399999999999999</v>
      </c>
      <c r="C20" s="1">
        <v>0.54400000000000004</v>
      </c>
      <c r="D20" s="1">
        <v>0.47599999999999998</v>
      </c>
      <c r="F20" s="1">
        <v>17</v>
      </c>
      <c r="G20" s="1">
        <v>0.13300000000000001</v>
      </c>
      <c r="H20" s="1">
        <v>0.66700000000000004</v>
      </c>
      <c r="I20" s="1">
        <v>98.581999999999994</v>
      </c>
      <c r="J20" s="3"/>
      <c r="K20" s="3"/>
      <c r="L20" s="3"/>
      <c r="N20" s="1" t="s">
        <v>25</v>
      </c>
      <c r="O20">
        <f t="shared" si="0"/>
        <v>0.14696905756250941</v>
      </c>
      <c r="P20">
        <f t="shared" si="1"/>
        <v>0.24253350386476322</v>
      </c>
      <c r="Q20">
        <f t="shared" si="2"/>
        <v>0.46765660767565626</v>
      </c>
    </row>
    <row r="21" spans="1:17">
      <c r="A21" s="1" t="s">
        <v>26</v>
      </c>
      <c r="B21" s="1">
        <v>-0.64500000000000002</v>
      </c>
      <c r="C21" s="1">
        <v>0.625</v>
      </c>
      <c r="D21" s="1">
        <v>0.15</v>
      </c>
      <c r="F21" s="1">
        <v>18</v>
      </c>
      <c r="G21" s="1">
        <v>0.107</v>
      </c>
      <c r="H21" s="1">
        <v>0.53400000000000003</v>
      </c>
      <c r="I21" s="1">
        <v>99.116</v>
      </c>
      <c r="J21" s="3"/>
      <c r="K21" s="3"/>
      <c r="L21" s="3"/>
      <c r="N21" s="1" t="s">
        <v>26</v>
      </c>
      <c r="O21">
        <f t="shared" si="0"/>
        <v>0.22357321256560983</v>
      </c>
      <c r="P21">
        <f t="shared" si="1"/>
        <v>0.27864602925639154</v>
      </c>
      <c r="Q21">
        <f t="shared" si="2"/>
        <v>0.14737077972972362</v>
      </c>
    </row>
    <row r="22" spans="1:17">
      <c r="A22" s="1" t="s">
        <v>27</v>
      </c>
      <c r="B22" s="1">
        <v>-0.63900000000000001</v>
      </c>
      <c r="C22" s="1">
        <v>0.64500000000000002</v>
      </c>
      <c r="D22" s="1">
        <v>8.4000000000000005E-2</v>
      </c>
      <c r="F22" s="1">
        <v>19</v>
      </c>
      <c r="G22" s="1">
        <v>0.1</v>
      </c>
      <c r="H22" s="1">
        <v>0.499</v>
      </c>
      <c r="I22" s="1">
        <v>99.614000000000004</v>
      </c>
      <c r="J22" s="3"/>
      <c r="K22" s="3"/>
      <c r="L22" s="3"/>
      <c r="N22" s="1" t="s">
        <v>27</v>
      </c>
      <c r="O22">
        <f t="shared" si="0"/>
        <v>0.22149346175104603</v>
      </c>
      <c r="P22">
        <f t="shared" si="1"/>
        <v>0.28756270219259611</v>
      </c>
      <c r="Q22">
        <f t="shared" si="2"/>
        <v>8.2527636648645236E-2</v>
      </c>
    </row>
    <row r="23" spans="1:17">
      <c r="A23" s="1" t="s">
        <v>28</v>
      </c>
      <c r="B23" s="1">
        <v>-0.68700000000000006</v>
      </c>
      <c r="C23" s="1">
        <v>0.55700000000000005</v>
      </c>
      <c r="D23" s="1">
        <v>0.129</v>
      </c>
      <c r="F23" s="1">
        <v>20</v>
      </c>
      <c r="G23" s="1">
        <v>7.6999999999999999E-2</v>
      </c>
      <c r="H23" s="1">
        <v>0.38600000000000001</v>
      </c>
      <c r="I23" s="1">
        <v>100</v>
      </c>
      <c r="J23" s="3"/>
      <c r="K23" s="3"/>
      <c r="L23" s="3"/>
      <c r="N23" s="1" t="s">
        <v>28</v>
      </c>
      <c r="O23">
        <f t="shared" si="0"/>
        <v>0.23813146826755655</v>
      </c>
      <c r="P23">
        <f t="shared" si="1"/>
        <v>0.24832934127329617</v>
      </c>
      <c r="Q23">
        <f t="shared" si="2"/>
        <v>0.12673887056756231</v>
      </c>
    </row>
    <row r="24" spans="1:17">
      <c r="A24" s="1" t="s">
        <v>7</v>
      </c>
      <c r="F24" s="1" t="s">
        <v>7</v>
      </c>
    </row>
    <row r="25" spans="1:17">
      <c r="A25" s="1" t="s">
        <v>29</v>
      </c>
      <c r="N25" t="s">
        <v>31</v>
      </c>
      <c r="P25" t="s">
        <v>32</v>
      </c>
    </row>
    <row r="26" spans="1:17">
      <c r="N26" s="1" t="s">
        <v>9</v>
      </c>
      <c r="O26">
        <f>(O4*$H$4+P4*$H$5+Q4*$H$6)/$I$6</f>
        <v>0.19070056393341231</v>
      </c>
      <c r="P26" s="4">
        <f>O26/SUM($O$26:$O$45)</f>
        <v>4.4356630645087727E-2</v>
      </c>
    </row>
    <row r="27" spans="1:17">
      <c r="N27" s="1" t="s">
        <v>10</v>
      </c>
      <c r="O27">
        <f t="shared" ref="O27:O45" si="3">(O5*$H$4+P5*$H$5+Q5*$H$6)/$I$6</f>
        <v>0.21921452647847295</v>
      </c>
      <c r="P27" s="4">
        <f t="shared" ref="P27:P45" si="4">O27/SUM($O$26:$O$45)</f>
        <v>5.0988930407351411E-2</v>
      </c>
    </row>
    <row r="28" spans="1:17">
      <c r="N28" s="1" t="s">
        <v>11</v>
      </c>
      <c r="O28">
        <f t="shared" si="3"/>
        <v>0.20752835709962977</v>
      </c>
      <c r="P28" s="4">
        <f t="shared" si="4"/>
        <v>4.8270747051720235E-2</v>
      </c>
    </row>
    <row r="29" spans="1:17">
      <c r="N29" s="1" t="s">
        <v>12</v>
      </c>
      <c r="O29">
        <f t="shared" si="3"/>
        <v>0.225602849273802</v>
      </c>
      <c r="P29" s="4">
        <f t="shared" si="4"/>
        <v>5.2474843552175403E-2</v>
      </c>
    </row>
    <row r="30" spans="1:17">
      <c r="N30" s="1" t="s">
        <v>13</v>
      </c>
      <c r="O30">
        <f t="shared" si="3"/>
        <v>0.22241206118553947</v>
      </c>
      <c r="P30" s="4">
        <f t="shared" si="4"/>
        <v>5.1732671605860515E-2</v>
      </c>
    </row>
    <row r="31" spans="1:17">
      <c r="N31" s="1" t="s">
        <v>14</v>
      </c>
      <c r="O31">
        <f t="shared" si="3"/>
        <v>0.21728317188151927</v>
      </c>
      <c r="P31" s="4">
        <f t="shared" si="4"/>
        <v>5.0539700574283482E-2</v>
      </c>
    </row>
    <row r="32" spans="1:17">
      <c r="N32" s="1" t="s">
        <v>15</v>
      </c>
      <c r="O32">
        <f t="shared" si="3"/>
        <v>0.230044222992733</v>
      </c>
      <c r="P32" s="4">
        <f t="shared" si="4"/>
        <v>5.35078996142236E-2</v>
      </c>
    </row>
    <row r="33" spans="14:16">
      <c r="N33" s="1" t="s">
        <v>16</v>
      </c>
      <c r="O33">
        <f t="shared" si="3"/>
        <v>0.22118186049494609</v>
      </c>
      <c r="P33" s="4">
        <f t="shared" si="4"/>
        <v>5.1446528992926052E-2</v>
      </c>
    </row>
    <row r="34" spans="14:16">
      <c r="N34" s="1" t="s">
        <v>17</v>
      </c>
      <c r="O34">
        <f t="shared" si="3"/>
        <v>0.20535764717382377</v>
      </c>
      <c r="P34" s="4">
        <f t="shared" si="4"/>
        <v>4.7765843571465065E-2</v>
      </c>
    </row>
    <row r="35" spans="14:16">
      <c r="N35" s="1" t="s">
        <v>18</v>
      </c>
      <c r="O35">
        <f t="shared" si="3"/>
        <v>0.22092289353438618</v>
      </c>
      <c r="P35" s="4">
        <f t="shared" si="4"/>
        <v>5.1386293713166484E-2</v>
      </c>
    </row>
    <row r="36" spans="14:16">
      <c r="N36" s="1" t="s">
        <v>19</v>
      </c>
      <c r="O36">
        <f t="shared" si="3"/>
        <v>0.19408191888570123</v>
      </c>
      <c r="P36" s="4">
        <f t="shared" si="4"/>
        <v>4.5143128123674048E-2</v>
      </c>
    </row>
    <row r="37" spans="14:16">
      <c r="N37" s="1" t="s">
        <v>20</v>
      </c>
      <c r="O37">
        <f t="shared" si="3"/>
        <v>0.11044072610605993</v>
      </c>
      <c r="P37" s="4">
        <f t="shared" si="4"/>
        <v>2.5688327265630556E-2</v>
      </c>
    </row>
    <row r="38" spans="14:16">
      <c r="N38" s="1" t="s">
        <v>21</v>
      </c>
      <c r="O38">
        <f t="shared" si="3"/>
        <v>0.22519608022653129</v>
      </c>
      <c r="P38" s="4">
        <f t="shared" si="4"/>
        <v>5.2380229755469791E-2</v>
      </c>
    </row>
    <row r="39" spans="14:16">
      <c r="N39" s="1" t="s">
        <v>22</v>
      </c>
      <c r="O39">
        <f t="shared" si="3"/>
        <v>0.23617905074555812</v>
      </c>
      <c r="P39" s="4">
        <f t="shared" si="4"/>
        <v>5.4934850238230748E-2</v>
      </c>
    </row>
    <row r="40" spans="14:16">
      <c r="N40" s="1" t="s">
        <v>23</v>
      </c>
      <c r="O40">
        <f t="shared" si="3"/>
        <v>0.22606897405126172</v>
      </c>
      <c r="P40" s="4">
        <f t="shared" si="4"/>
        <v>5.2583263391959012E-2</v>
      </c>
    </row>
    <row r="41" spans="14:16">
      <c r="N41" s="1" t="s">
        <v>24</v>
      </c>
      <c r="O41">
        <f t="shared" si="3"/>
        <v>0.23796418991689366</v>
      </c>
      <c r="P41" s="4">
        <f t="shared" si="4"/>
        <v>5.535007060905596E-2</v>
      </c>
    </row>
    <row r="42" spans="14:16">
      <c r="N42" s="1" t="s">
        <v>25</v>
      </c>
      <c r="O42">
        <f t="shared" si="3"/>
        <v>0.20347780867869975</v>
      </c>
      <c r="P42" s="4">
        <f t="shared" si="4"/>
        <v>4.7328596297095446E-2</v>
      </c>
    </row>
    <row r="43" spans="14:16">
      <c r="N43" s="1" t="s">
        <v>26</v>
      </c>
      <c r="O43">
        <f t="shared" si="3"/>
        <v>0.23734052747741813</v>
      </c>
      <c r="P43" s="4">
        <f t="shared" si="4"/>
        <v>5.5205007773873736E-2</v>
      </c>
    </row>
    <row r="44" spans="14:16">
      <c r="N44" s="1" t="s">
        <v>27</v>
      </c>
      <c r="O44">
        <f t="shared" si="3"/>
        <v>0.23458528652460944</v>
      </c>
      <c r="P44" s="4">
        <f t="shared" si="4"/>
        <v>5.4564143359206202E-2</v>
      </c>
    </row>
    <row r="45" spans="14:16">
      <c r="N45" s="1" t="s">
        <v>28</v>
      </c>
      <c r="O45">
        <f t="shared" si="3"/>
        <v>0.23367448930830625</v>
      </c>
      <c r="P45" s="4">
        <f t="shared" si="4"/>
        <v>5.435229345754445E-2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2024-03-23T03:33:20Z</dcterms:created>
  <dcterms:modified xsi:type="dcterms:W3CDTF">2024-04-14T05:08:20Z</dcterms:modified>
</cp:coreProperties>
</file>